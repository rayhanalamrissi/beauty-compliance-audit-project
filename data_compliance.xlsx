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DATA" sheetId="1" r:id="rId4"/>
    <sheet state="visible" name="Tableau croisé dynamique 1" sheetId="2" r:id="rId5"/>
  </sheets>
  <definedNames>
    <definedName hidden="1" localSheetId="0" name="_xlnm._FilterDatabase">MOCK_DATA!$A$1:$Z$1000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<sst xmlns="http://schemas.openxmlformats.org/spreadsheetml/2006/main" count="4269" uniqueCount="1133">
  <si>
    <t>Partner_ID</t>
  </si>
  <si>
    <t>Partner_Name</t>
  </si>
  <si>
    <t>Partner_Type</t>
  </si>
  <si>
    <t>HQ_Country</t>
  </si>
  <si>
    <t>BanQ_Country</t>
  </si>
  <si>
    <t>VAT_Number</t>
  </si>
  <si>
    <t>Personal_Data_Access</t>
  </si>
  <si>
    <t>DPA_Status</t>
  </si>
  <si>
    <t>Storage_Region</t>
  </si>
  <si>
    <t>Ethics_Charter</t>
  </si>
  <si>
    <t>Last_Update</t>
  </si>
  <si>
    <t>Account_Status</t>
  </si>
  <si>
    <t xml:space="preserve">Privacy audit </t>
  </si>
  <si>
    <t xml:space="preserve">Financial audit </t>
  </si>
  <si>
    <t>Global status</t>
  </si>
  <si>
    <t>Jabberbean</t>
  </si>
  <si>
    <t>Raw Material Supplier</t>
  </si>
  <si>
    <t>US</t>
  </si>
  <si>
    <t>RL92773631503</t>
  </si>
  <si>
    <t>Missing</t>
  </si>
  <si>
    <t>Inactive</t>
  </si>
  <si>
    <t>Trunyx</t>
  </si>
  <si>
    <t>PT</t>
  </si>
  <si>
    <t>MT97435011741</t>
  </si>
  <si>
    <t>APAC</t>
  </si>
  <si>
    <t>Jaxnation</t>
  </si>
  <si>
    <t>Influencer Agency</t>
  </si>
  <si>
    <t>LV</t>
  </si>
  <si>
    <t>AN87287309835</t>
  </si>
  <si>
    <t>Signed</t>
  </si>
  <si>
    <t>2/21/2025</t>
  </si>
  <si>
    <t>Active</t>
  </si>
  <si>
    <t>Pixonyx</t>
  </si>
  <si>
    <t>BR</t>
  </si>
  <si>
    <t>ZW09635496470</t>
  </si>
  <si>
    <t>EU</t>
  </si>
  <si>
    <t>Zoozzy</t>
  </si>
  <si>
    <t>PL</t>
  </si>
  <si>
    <t>RX87240407999</t>
  </si>
  <si>
    <t>5/24/2023</t>
  </si>
  <si>
    <t>Wikivu</t>
  </si>
  <si>
    <t>Retail Tech</t>
  </si>
  <si>
    <t>ID</t>
  </si>
  <si>
    <t>RN09815264738</t>
  </si>
  <si>
    <t>Pending</t>
  </si>
  <si>
    <t>4/16/2023</t>
  </si>
  <si>
    <t>Youspan</t>
  </si>
  <si>
    <t>Packaging &amp; Glass</t>
  </si>
  <si>
    <t>RF33888018171</t>
  </si>
  <si>
    <t>1/31/2024</t>
  </si>
  <si>
    <t>Podcat</t>
  </si>
  <si>
    <t>TH</t>
  </si>
  <si>
    <t>FW45714533513</t>
  </si>
  <si>
    <t>Voonte</t>
  </si>
  <si>
    <t>YE</t>
  </si>
  <si>
    <t>MC41140582095</t>
  </si>
  <si>
    <t>2/16/2025</t>
  </si>
  <si>
    <t>CRO - Clinical Research</t>
  </si>
  <si>
    <t>BO</t>
  </si>
  <si>
    <t>HB15808621591</t>
  </si>
  <si>
    <t>12/31/2024</t>
  </si>
  <si>
    <t>Dynazzy</t>
  </si>
  <si>
    <t>MR</t>
  </si>
  <si>
    <t>RT51248687033</t>
  </si>
  <si>
    <t>6/25/2024</t>
  </si>
  <si>
    <t>Realcube</t>
  </si>
  <si>
    <t>SE</t>
  </si>
  <si>
    <t>LJ94048112590</t>
  </si>
  <si>
    <t>Lazzy</t>
  </si>
  <si>
    <t>CO</t>
  </si>
  <si>
    <t>VW38242216871</t>
  </si>
  <si>
    <t>Eire</t>
  </si>
  <si>
    <t>IY09295175460</t>
  </si>
  <si>
    <t>Feedbug</t>
  </si>
  <si>
    <t>PH</t>
  </si>
  <si>
    <t>MQ75880161960</t>
  </si>
  <si>
    <t>Oyonder</t>
  </si>
  <si>
    <t>BK73136949851</t>
  </si>
  <si>
    <t>Tambee</t>
  </si>
  <si>
    <t>CN</t>
  </si>
  <si>
    <t>AC37252111005</t>
  </si>
  <si>
    <t>5/15/2025</t>
  </si>
  <si>
    <t>Ntag</t>
  </si>
  <si>
    <t>AF</t>
  </si>
  <si>
    <t>CM98550020715</t>
  </si>
  <si>
    <t>6/30/2023</t>
  </si>
  <si>
    <t>Vinder</t>
  </si>
  <si>
    <t>BD30877411450</t>
  </si>
  <si>
    <t>9/25/2024</t>
  </si>
  <si>
    <t>Midel</t>
  </si>
  <si>
    <t>RN85783673758</t>
  </si>
  <si>
    <t>Dablist</t>
  </si>
  <si>
    <t>YI99613249123</t>
  </si>
  <si>
    <t>Babbleopia</t>
  </si>
  <si>
    <t>RP66919940440</t>
  </si>
  <si>
    <t>9/13/2024</t>
  </si>
  <si>
    <t>Agivu</t>
  </si>
  <si>
    <t>ZW</t>
  </si>
  <si>
    <t>FE10459306734</t>
  </si>
  <si>
    <t>11/20/2023</t>
  </si>
  <si>
    <t>Devbug</t>
  </si>
  <si>
    <t>PE</t>
  </si>
  <si>
    <t>YW85428926809</t>
  </si>
  <si>
    <t>6/17/2025</t>
  </si>
  <si>
    <t>Izio</t>
  </si>
  <si>
    <t>WH54851870463</t>
  </si>
  <si>
    <t>5/25/2025</t>
  </si>
  <si>
    <t>Zoomzone</t>
  </si>
  <si>
    <t>DO</t>
  </si>
  <si>
    <t>BW73359848339</t>
  </si>
  <si>
    <t>Yata</t>
  </si>
  <si>
    <t>DJ25892923265</t>
  </si>
  <si>
    <t>6/21/2023</t>
  </si>
  <si>
    <t>Jabberstorm</t>
  </si>
  <si>
    <t>UG98595599786</t>
  </si>
  <si>
    <t>3/16/2024</t>
  </si>
  <si>
    <t>Cogidoo</t>
  </si>
  <si>
    <t>FI</t>
  </si>
  <si>
    <t>CJ84686442075</t>
  </si>
  <si>
    <t>7/16/2024</t>
  </si>
  <si>
    <t>Leexo</t>
  </si>
  <si>
    <t>VM94410081641</t>
  </si>
  <si>
    <t>3/28/2025</t>
  </si>
  <si>
    <t>Yakijo</t>
  </si>
  <si>
    <t>HC56082606771</t>
  </si>
  <si>
    <t>Kwinu</t>
  </si>
  <si>
    <t>UA</t>
  </si>
  <si>
    <t>NI67316117375</t>
  </si>
  <si>
    <t>10/18/2024</t>
  </si>
  <si>
    <t>Demizz</t>
  </si>
  <si>
    <t>TL</t>
  </si>
  <si>
    <t>AC21208150478</t>
  </si>
  <si>
    <t>6/13/2025</t>
  </si>
  <si>
    <t>Topicshots</t>
  </si>
  <si>
    <t>NO</t>
  </si>
  <si>
    <t>AD15608236481</t>
  </si>
  <si>
    <t>Oyoloo</t>
  </si>
  <si>
    <t>EI00253018991</t>
  </si>
  <si>
    <t>Omba</t>
  </si>
  <si>
    <t>ZZ82506861117</t>
  </si>
  <si>
    <t>Wikibox</t>
  </si>
  <si>
    <t>IE</t>
  </si>
  <si>
    <t>XR94080085217</t>
  </si>
  <si>
    <t>Wordify</t>
  </si>
  <si>
    <t>RU</t>
  </si>
  <si>
    <t>UP66066776713</t>
  </si>
  <si>
    <t>Chatterbridge</t>
  </si>
  <si>
    <t>FB39013614105</t>
  </si>
  <si>
    <t>PH47753718513</t>
  </si>
  <si>
    <t>9/23/2023</t>
  </si>
  <si>
    <t>Photobug</t>
  </si>
  <si>
    <t>CZ</t>
  </si>
  <si>
    <t>NK35873511391</t>
  </si>
  <si>
    <t>12/20/2024</t>
  </si>
  <si>
    <t>Kwilith</t>
  </si>
  <si>
    <t>HN</t>
  </si>
  <si>
    <t>FV10127647994</t>
  </si>
  <si>
    <t>3/25/2023</t>
  </si>
  <si>
    <t>Buzzster</t>
  </si>
  <si>
    <t>QE40382746254</t>
  </si>
  <si>
    <t>Linktype</t>
  </si>
  <si>
    <t>DI80907622806</t>
  </si>
  <si>
    <t>Camimbo</t>
  </si>
  <si>
    <t>PP08970616761</t>
  </si>
  <si>
    <t>10/22/2024</t>
  </si>
  <si>
    <t>GV68265437774</t>
  </si>
  <si>
    <t>12/16/2023</t>
  </si>
  <si>
    <t>Feedmix</t>
  </si>
  <si>
    <t>KR</t>
  </si>
  <si>
    <t>UF95696942933</t>
  </si>
  <si>
    <t>Npath</t>
  </si>
  <si>
    <t>KL06095973349</t>
  </si>
  <si>
    <t>7/29/2025</t>
  </si>
  <si>
    <t>FR</t>
  </si>
  <si>
    <t>ZO93721491211</t>
  </si>
  <si>
    <t>Eazzy</t>
  </si>
  <si>
    <t>SA</t>
  </si>
  <si>
    <t>IX69884436924</t>
  </si>
  <si>
    <t>Talane</t>
  </si>
  <si>
    <t>VO44567931877</t>
  </si>
  <si>
    <t>Tekfly</t>
  </si>
  <si>
    <t>LA</t>
  </si>
  <si>
    <t>SH16640509984</t>
  </si>
  <si>
    <t>Trupe</t>
  </si>
  <si>
    <t>TJ</t>
  </si>
  <si>
    <t>LR49445186649</t>
  </si>
  <si>
    <t>5/21/2025</t>
  </si>
  <si>
    <t>Linklinks</t>
  </si>
  <si>
    <t>YZ11891761569</t>
  </si>
  <si>
    <t>6/27/2023</t>
  </si>
  <si>
    <t>Demivee</t>
  </si>
  <si>
    <t>RS01565054399</t>
  </si>
  <si>
    <t>11/23/2023</t>
  </si>
  <si>
    <t>Wordware</t>
  </si>
  <si>
    <t>BK66331707620</t>
  </si>
  <si>
    <t>9/20/2023</t>
  </si>
  <si>
    <t>Dabfeed</t>
  </si>
  <si>
    <t>SI</t>
  </si>
  <si>
    <t>TX20407498199</t>
  </si>
  <si>
    <t>5/28/2023</t>
  </si>
  <si>
    <t>Teklist</t>
  </si>
  <si>
    <t>MO50878973124</t>
  </si>
  <si>
    <t>5/15/2024</t>
  </si>
  <si>
    <t>Centizu</t>
  </si>
  <si>
    <t>QV78267919770</t>
  </si>
  <si>
    <t>9/29/2025</t>
  </si>
  <si>
    <t>Quamba</t>
  </si>
  <si>
    <t>OV28343655474</t>
  </si>
  <si>
    <t>Jaxworks</t>
  </si>
  <si>
    <t>CV51222407676</t>
  </si>
  <si>
    <t>3/16/2025</t>
  </si>
  <si>
    <t>Geba</t>
  </si>
  <si>
    <t>TJ42056615843</t>
  </si>
  <si>
    <t>Devcast</t>
  </si>
  <si>
    <t>RG56033442408</t>
  </si>
  <si>
    <t>Rhybox</t>
  </si>
  <si>
    <t>HZ71986544144</t>
  </si>
  <si>
    <t>7/21/2025</t>
  </si>
  <si>
    <t>WI51048976053</t>
  </si>
  <si>
    <t>Bubbletube</t>
  </si>
  <si>
    <t>YC28438482241</t>
  </si>
  <si>
    <t>11/14/2023</t>
  </si>
  <si>
    <t>Zazio</t>
  </si>
  <si>
    <t>TC27130787110</t>
  </si>
  <si>
    <t>Yabox</t>
  </si>
  <si>
    <t>YK81461985611</t>
  </si>
  <si>
    <t>Zoovu</t>
  </si>
  <si>
    <t>CR</t>
  </si>
  <si>
    <t>UF30553621701</t>
  </si>
  <si>
    <t>Digitube</t>
  </si>
  <si>
    <t>FL08569425876</t>
  </si>
  <si>
    <t>3/18/2023</t>
  </si>
  <si>
    <t>Fanoodle</t>
  </si>
  <si>
    <t>GQ49062433269</t>
  </si>
  <si>
    <t>RM59969256734</t>
  </si>
  <si>
    <t>2/19/2025</t>
  </si>
  <si>
    <t>ME80534764113</t>
  </si>
  <si>
    <t>11/13/2024</t>
  </si>
  <si>
    <t>Yoveo</t>
  </si>
  <si>
    <t>PY</t>
  </si>
  <si>
    <t>FZ85841616951</t>
  </si>
  <si>
    <t>9/17/2025</t>
  </si>
  <si>
    <t>YT18606291265</t>
  </si>
  <si>
    <t>10/31/2023</t>
  </si>
  <si>
    <t>Flipstorm</t>
  </si>
  <si>
    <t>MX</t>
  </si>
  <si>
    <t>HD25020055107</t>
  </si>
  <si>
    <t>7/19/2024</t>
  </si>
  <si>
    <t>Quatz</t>
  </si>
  <si>
    <t>IT</t>
  </si>
  <si>
    <t>MJ29035294357</t>
  </si>
  <si>
    <t>Centimia</t>
  </si>
  <si>
    <t>DC70333335827</t>
  </si>
  <si>
    <t>3/19/2024</t>
  </si>
  <si>
    <t>AL</t>
  </si>
  <si>
    <t>VH50656345804</t>
  </si>
  <si>
    <t>Divanoodle</t>
  </si>
  <si>
    <t>JP92526015324</t>
  </si>
  <si>
    <t>11/21/2024</t>
  </si>
  <si>
    <t>Photobean</t>
  </si>
  <si>
    <t>QZ95182838293</t>
  </si>
  <si>
    <t>10/30/2024</t>
  </si>
  <si>
    <t>Gabtune</t>
  </si>
  <si>
    <t>EF79835319181</t>
  </si>
  <si>
    <t>4/23/2023</t>
  </si>
  <si>
    <t>Kaymbo</t>
  </si>
  <si>
    <t>VZ90390754424</t>
  </si>
  <si>
    <t>8/24/2025</t>
  </si>
  <si>
    <t>Rhynyx</t>
  </si>
  <si>
    <t>TC38848696940</t>
  </si>
  <si>
    <t>1/19/2024</t>
  </si>
  <si>
    <t>Realpoint</t>
  </si>
  <si>
    <t>UU77668614747</t>
  </si>
  <si>
    <t>4/16/2024</t>
  </si>
  <si>
    <t>Jatri</t>
  </si>
  <si>
    <t>BF41547579725</t>
  </si>
  <si>
    <t>11/20/2024</t>
  </si>
  <si>
    <t>Fivechat</t>
  </si>
  <si>
    <t>LL14828340087</t>
  </si>
  <si>
    <t>3/27/2024</t>
  </si>
  <si>
    <t>JP</t>
  </si>
  <si>
    <t>SY00359209884</t>
  </si>
  <si>
    <t>5/18/2025</t>
  </si>
  <si>
    <t>Mita</t>
  </si>
  <si>
    <t>GS16037402813</t>
  </si>
  <si>
    <t>10/15/2025</t>
  </si>
  <si>
    <t>Centidel</t>
  </si>
  <si>
    <t>CK45506942876</t>
  </si>
  <si>
    <t>6/16/2025</t>
  </si>
  <si>
    <t>EE</t>
  </si>
  <si>
    <t>SE55912544528</t>
  </si>
  <si>
    <t>Skinte</t>
  </si>
  <si>
    <t>CU</t>
  </si>
  <si>
    <t>BE36265155775</t>
  </si>
  <si>
    <t>6/15/2025</t>
  </si>
  <si>
    <t>RM07125510872</t>
  </si>
  <si>
    <t>Agimba</t>
  </si>
  <si>
    <t>IJ09167330567</t>
  </si>
  <si>
    <t>3/19/2023</t>
  </si>
  <si>
    <t>Gigabox</t>
  </si>
  <si>
    <t>SF43547243178</t>
  </si>
  <si>
    <t>Voolia</t>
  </si>
  <si>
    <t>VQ67390590520</t>
  </si>
  <si>
    <t>7/16/2025</t>
  </si>
  <si>
    <t>Meemm</t>
  </si>
  <si>
    <t>BP51535594895</t>
  </si>
  <si>
    <t>8/16/2023</t>
  </si>
  <si>
    <t>Tagfeed</t>
  </si>
  <si>
    <t>SY</t>
  </si>
  <si>
    <t>DI75828769861</t>
  </si>
  <si>
    <t>12/25/2023</t>
  </si>
  <si>
    <t>Flashdog</t>
  </si>
  <si>
    <t>CA</t>
  </si>
  <si>
    <t>FT92219629087</t>
  </si>
  <si>
    <t>Avaveo</t>
  </si>
  <si>
    <t>DK</t>
  </si>
  <si>
    <t>CI00529293871</t>
  </si>
  <si>
    <t>MN09744133009</t>
  </si>
  <si>
    <t>Yodoo</t>
  </si>
  <si>
    <t>QO29102978146</t>
  </si>
  <si>
    <t>Youbridge</t>
  </si>
  <si>
    <t>FW60086749495</t>
  </si>
  <si>
    <t>7/27/2023</t>
  </si>
  <si>
    <t>Oyondu</t>
  </si>
  <si>
    <t>OJ07092712259</t>
  </si>
  <si>
    <t>Twimm</t>
  </si>
  <si>
    <t>GC83570529058</t>
  </si>
  <si>
    <t>Zoomcast</t>
  </si>
  <si>
    <t>ZO84121435762</t>
  </si>
  <si>
    <t>2/23/2025</t>
  </si>
  <si>
    <t>Gevee</t>
  </si>
  <si>
    <t>FA45132170030</t>
  </si>
  <si>
    <t>4/25/2025</t>
  </si>
  <si>
    <t>Twiyo</t>
  </si>
  <si>
    <t>KZ</t>
  </si>
  <si>
    <t>BB23640739431</t>
  </si>
  <si>
    <t>5/16/2025</t>
  </si>
  <si>
    <t>Mynte</t>
  </si>
  <si>
    <t>AZ81715439687</t>
  </si>
  <si>
    <t>Browsecat</t>
  </si>
  <si>
    <t>HD60701954102</t>
  </si>
  <si>
    <t>UC15657283608</t>
  </si>
  <si>
    <t>PE98850358873</t>
  </si>
  <si>
    <t>Photofeed</t>
  </si>
  <si>
    <t>BZ06514691411</t>
  </si>
  <si>
    <t>FT83979230974</t>
  </si>
  <si>
    <t>9/19/2023</t>
  </si>
  <si>
    <t>Meevee</t>
  </si>
  <si>
    <t>MA</t>
  </si>
  <si>
    <t>LN80551875878</t>
  </si>
  <si>
    <t>BY94182398057</t>
  </si>
  <si>
    <t>4/21/2024</t>
  </si>
  <si>
    <t>Gabspot</t>
  </si>
  <si>
    <t>TV79361056555</t>
  </si>
  <si>
    <t>12/18/2024</t>
  </si>
  <si>
    <t>Fivebridge</t>
  </si>
  <si>
    <t>EC</t>
  </si>
  <si>
    <t>XU53170019853</t>
  </si>
  <si>
    <t>Demimbu</t>
  </si>
  <si>
    <t>DZ58270089103</t>
  </si>
  <si>
    <t>1/18/2025</t>
  </si>
  <si>
    <t>Yadel</t>
  </si>
  <si>
    <t>NJ87284545319</t>
  </si>
  <si>
    <t>Devpulse</t>
  </si>
  <si>
    <t>ZM</t>
  </si>
  <si>
    <t>ET96371213711</t>
  </si>
  <si>
    <t>Tanoodle</t>
  </si>
  <si>
    <t>FD68168329576</t>
  </si>
  <si>
    <t>12/17/2024</t>
  </si>
  <si>
    <t>Layo</t>
  </si>
  <si>
    <t>FH52055109535</t>
  </si>
  <si>
    <t>10/23/2024</t>
  </si>
  <si>
    <t>Snaptags</t>
  </si>
  <si>
    <t>MG70700175893</t>
  </si>
  <si>
    <t>Youfeed</t>
  </si>
  <si>
    <t>DS69290424180</t>
  </si>
  <si>
    <t>1/27/2025</t>
  </si>
  <si>
    <t>IT59809217114</t>
  </si>
  <si>
    <t>Skyba</t>
  </si>
  <si>
    <t>NV75520995936</t>
  </si>
  <si>
    <t>6/24/2025</t>
  </si>
  <si>
    <t>Flashset</t>
  </si>
  <si>
    <t>JZ77438629583</t>
  </si>
  <si>
    <t>8/25/2023</t>
  </si>
  <si>
    <t>Plambee</t>
  </si>
  <si>
    <t>WD87612707107</t>
  </si>
  <si>
    <t>4/27/2025</t>
  </si>
  <si>
    <t>Flipbug</t>
  </si>
  <si>
    <t>RE69781484414</t>
  </si>
  <si>
    <t>10/28/2023</t>
  </si>
  <si>
    <t>Fiveclub</t>
  </si>
  <si>
    <t>AA74079265108</t>
  </si>
  <si>
    <t>1/19/2025</t>
  </si>
  <si>
    <t>Wikizz</t>
  </si>
  <si>
    <t>PP65795243933</t>
  </si>
  <si>
    <t>2/14/2025</t>
  </si>
  <si>
    <t>Rhynoodle</t>
  </si>
  <si>
    <t>LM82206999568</t>
  </si>
  <si>
    <t>8/27/2025</t>
  </si>
  <si>
    <t>Devify</t>
  </si>
  <si>
    <t>GR</t>
  </si>
  <si>
    <t>MP70930245664</t>
  </si>
  <si>
    <t>PD94538417342</t>
  </si>
  <si>
    <t>Viva</t>
  </si>
  <si>
    <t>RT30762985124</t>
  </si>
  <si>
    <t>XB28434550491</t>
  </si>
  <si>
    <t>Muxo</t>
  </si>
  <si>
    <t>BU45794254308</t>
  </si>
  <si>
    <t>8/25/2024</t>
  </si>
  <si>
    <t>PS92328226135</t>
  </si>
  <si>
    <t>11/28/2023</t>
  </si>
  <si>
    <t>Skipfire</t>
  </si>
  <si>
    <t>GA77089511505</t>
  </si>
  <si>
    <t>4/24/2024</t>
  </si>
  <si>
    <t>Zooxo</t>
  </si>
  <si>
    <t>XD32517381331</t>
  </si>
  <si>
    <t>6/19/2023</t>
  </si>
  <si>
    <t>Skyvu</t>
  </si>
  <si>
    <t>AO12535490018</t>
  </si>
  <si>
    <t>11/27/2023</t>
  </si>
  <si>
    <t>WO02436930779</t>
  </si>
  <si>
    <t>RV53566647306</t>
  </si>
  <si>
    <t>2/23/2024</t>
  </si>
  <si>
    <t>Skyble</t>
  </si>
  <si>
    <t>NH41093994916</t>
  </si>
  <si>
    <t>2/15/2025</t>
  </si>
  <si>
    <t>JF19740953322</t>
  </si>
  <si>
    <t>Shufflebeat</t>
  </si>
  <si>
    <t>TX96706860797</t>
  </si>
  <si>
    <t>4/28/2024</t>
  </si>
  <si>
    <t>Twitternation</t>
  </si>
  <si>
    <t>VE</t>
  </si>
  <si>
    <t>IE80666550476</t>
  </si>
  <si>
    <t>3/15/2025</t>
  </si>
  <si>
    <t>SO</t>
  </si>
  <si>
    <t>XL16462626837</t>
  </si>
  <si>
    <t>WJ41299129177</t>
  </si>
  <si>
    <t>Skiba</t>
  </si>
  <si>
    <t>UZ</t>
  </si>
  <si>
    <t>SJ27764060223</t>
  </si>
  <si>
    <t>KU33743182957</t>
  </si>
  <si>
    <t>9/30/2025</t>
  </si>
  <si>
    <t>Abatz</t>
  </si>
  <si>
    <t>TH98478164987</t>
  </si>
  <si>
    <t>QE17984778451</t>
  </si>
  <si>
    <t>Gigaclub</t>
  </si>
  <si>
    <t>BY</t>
  </si>
  <si>
    <t>KK82494580995</t>
  </si>
  <si>
    <t>BC19965727291</t>
  </si>
  <si>
    <t>9/15/2023</t>
  </si>
  <si>
    <t>Topicstorm</t>
  </si>
  <si>
    <t>IS47069928468</t>
  </si>
  <si>
    <t>5/23/2023</t>
  </si>
  <si>
    <t>Jabbertype</t>
  </si>
  <si>
    <t>PB84158002317</t>
  </si>
  <si>
    <t>Voonyx</t>
  </si>
  <si>
    <t>HJ17223702443</t>
  </si>
  <si>
    <t>AM66542740888</t>
  </si>
  <si>
    <t>LP78702349382</t>
  </si>
  <si>
    <t>Twitterbeat</t>
  </si>
  <si>
    <t>NB04094744061</t>
  </si>
  <si>
    <t>Thoughtstorm</t>
  </si>
  <si>
    <t>CC77461245214</t>
  </si>
  <si>
    <t>5/27/2025</t>
  </si>
  <si>
    <t>Mydo</t>
  </si>
  <si>
    <t>GL27056886959</t>
  </si>
  <si>
    <t>2/13/2025</t>
  </si>
  <si>
    <t>Thoughtworks</t>
  </si>
  <si>
    <t>XC38887330130</t>
  </si>
  <si>
    <t>KO40372509096</t>
  </si>
  <si>
    <t>UA66444590247</t>
  </si>
  <si>
    <t>7/15/2024</t>
  </si>
  <si>
    <t>Photolist</t>
  </si>
  <si>
    <t>YD67836211237</t>
  </si>
  <si>
    <t>SX81531170834</t>
  </si>
  <si>
    <t>MW96081656535</t>
  </si>
  <si>
    <t>Voonder</t>
  </si>
  <si>
    <t>HU11462769742</t>
  </si>
  <si>
    <t>9/18/2023</t>
  </si>
  <si>
    <t>Skynoodle</t>
  </si>
  <si>
    <t>IH92798501812</t>
  </si>
  <si>
    <t>8/26/2024</t>
  </si>
  <si>
    <t>Browsedrive</t>
  </si>
  <si>
    <t>CQ80746586231</t>
  </si>
  <si>
    <t>Quinu</t>
  </si>
  <si>
    <t>VH</t>
  </si>
  <si>
    <t>VN90549477300</t>
  </si>
  <si>
    <t>11/24/2024</t>
  </si>
  <si>
    <t>Voomm</t>
  </si>
  <si>
    <t>TZ48407187209</t>
  </si>
  <si>
    <t>Oozz</t>
  </si>
  <si>
    <t>TU65817557918</t>
  </si>
  <si>
    <t>Fivespan</t>
  </si>
  <si>
    <t>EC54687997226</t>
  </si>
  <si>
    <t>2/14/2024</t>
  </si>
  <si>
    <t>LiveZ</t>
  </si>
  <si>
    <t>WN15127866813</t>
  </si>
  <si>
    <t>10/27/2023</t>
  </si>
  <si>
    <t>DabZ</t>
  </si>
  <si>
    <t>JG56650246689</t>
  </si>
  <si>
    <t>4/20/2025</t>
  </si>
  <si>
    <t>CR18161419787</t>
  </si>
  <si>
    <t>6/19/2025</t>
  </si>
  <si>
    <t>Twinder</t>
  </si>
  <si>
    <t>RB99410494389</t>
  </si>
  <si>
    <t>3/24/2025</t>
  </si>
  <si>
    <t>Eidel</t>
  </si>
  <si>
    <t>HR</t>
  </si>
  <si>
    <t>FD71653476521</t>
  </si>
  <si>
    <t>Photojam</t>
  </si>
  <si>
    <t>CT44570274581</t>
  </si>
  <si>
    <t>10/19/2025</t>
  </si>
  <si>
    <t>Cogilith</t>
  </si>
  <si>
    <t>ZU64985846866</t>
  </si>
  <si>
    <t>NH01633401610</t>
  </si>
  <si>
    <t>3/14/2023</t>
  </si>
  <si>
    <t>Skilith</t>
  </si>
  <si>
    <t>DE</t>
  </si>
  <si>
    <t>JT20606949424</t>
  </si>
  <si>
    <t>7/28/2023</t>
  </si>
  <si>
    <t>Kayveo</t>
  </si>
  <si>
    <t>FH87877207531</t>
  </si>
  <si>
    <t>3/29/2025</t>
  </si>
  <si>
    <t>VK56168051869</t>
  </si>
  <si>
    <t>VG97460621670</t>
  </si>
  <si>
    <t>WY98512684082</t>
  </si>
  <si>
    <t>10/26/2023</t>
  </si>
  <si>
    <t>ZC02044136118</t>
  </si>
  <si>
    <t>3/21/2023</t>
  </si>
  <si>
    <t>EW33559912799</t>
  </si>
  <si>
    <t>Gabtype</t>
  </si>
  <si>
    <t>EM45460125088</t>
  </si>
  <si>
    <t>2/20/2025</t>
  </si>
  <si>
    <t>DQ34761282297</t>
  </si>
  <si>
    <t>Oyoyo</t>
  </si>
  <si>
    <t>FM12808176198</t>
  </si>
  <si>
    <t>9/15/2024</t>
  </si>
  <si>
    <t>Mymm</t>
  </si>
  <si>
    <t>NA</t>
  </si>
  <si>
    <t>AU26097735684</t>
  </si>
  <si>
    <t>12/23/2024</t>
  </si>
  <si>
    <t>UF82819024416</t>
  </si>
  <si>
    <t>8/18/2023</t>
  </si>
  <si>
    <t>Skidoo</t>
  </si>
  <si>
    <t>FQ53132021744</t>
  </si>
  <si>
    <t>11/27/2024</t>
  </si>
  <si>
    <t>Thoughtsphere</t>
  </si>
  <si>
    <t>ZD86504791903</t>
  </si>
  <si>
    <t>Livetube</t>
  </si>
  <si>
    <t>GH41009847548</t>
  </si>
  <si>
    <t>10/30/2025</t>
  </si>
  <si>
    <t>XT64745090799</t>
  </si>
  <si>
    <t>CM</t>
  </si>
  <si>
    <t>OQ41109131831</t>
  </si>
  <si>
    <t>6/23/2025</t>
  </si>
  <si>
    <t>OR09460919485</t>
  </si>
  <si>
    <t>Youtags</t>
  </si>
  <si>
    <t>HR30837968190</t>
  </si>
  <si>
    <t>1/17/2024</t>
  </si>
  <si>
    <t>SF76161234871</t>
  </si>
  <si>
    <t>Lajo</t>
  </si>
  <si>
    <t>FU82071788216</t>
  </si>
  <si>
    <t>1/20/2024</t>
  </si>
  <si>
    <t>Kazio</t>
  </si>
  <si>
    <t>VN</t>
  </si>
  <si>
    <t>SO35674240677</t>
  </si>
  <si>
    <t>Nlounge</t>
  </si>
  <si>
    <t>ND85661367341</t>
  </si>
  <si>
    <t>9/23/2024</t>
  </si>
  <si>
    <t>Skajo</t>
  </si>
  <si>
    <t>UQ16777848526</t>
  </si>
  <si>
    <t>Skippad</t>
  </si>
  <si>
    <t>SN</t>
  </si>
  <si>
    <t>BG06463954486</t>
  </si>
  <si>
    <t>DA47071765619</t>
  </si>
  <si>
    <t>AU07593425626</t>
  </si>
  <si>
    <t>1/27/2024</t>
  </si>
  <si>
    <t>Twitterlist</t>
  </si>
  <si>
    <t>AM</t>
  </si>
  <si>
    <t>LR47882829271</t>
  </si>
  <si>
    <t>LQ89238908093</t>
  </si>
  <si>
    <t>4/19/2025</t>
  </si>
  <si>
    <t>Devshare</t>
  </si>
  <si>
    <t>FW98059150024</t>
  </si>
  <si>
    <t>9/16/2023</t>
  </si>
  <si>
    <t>QK25099590301</t>
  </si>
  <si>
    <t>1/30/2025</t>
  </si>
  <si>
    <t>Blogpad</t>
  </si>
  <si>
    <t>JB81632294472</t>
  </si>
  <si>
    <t>7/23/2023</t>
  </si>
  <si>
    <t>Reallinks</t>
  </si>
  <si>
    <t>VG60091261587</t>
  </si>
  <si>
    <t>12/28/2024</t>
  </si>
  <si>
    <t>Ainyx</t>
  </si>
  <si>
    <t>VF32333925160</t>
  </si>
  <si>
    <t>Ooba</t>
  </si>
  <si>
    <t>UQ82549759128</t>
  </si>
  <si>
    <t>SG17887651152</t>
  </si>
  <si>
    <t>Meeveo</t>
  </si>
  <si>
    <t>AO35150756994</t>
  </si>
  <si>
    <t>Myworks</t>
  </si>
  <si>
    <t>GM43929005664</t>
  </si>
  <si>
    <t>3/18/2025</t>
  </si>
  <si>
    <t>Mydeo</t>
  </si>
  <si>
    <t>ND08674550906</t>
  </si>
  <si>
    <t>ET</t>
  </si>
  <si>
    <t>RZ44281033993</t>
  </si>
  <si>
    <t>KM57152955280</t>
  </si>
  <si>
    <t>5/23/2024</t>
  </si>
  <si>
    <t>RZ42675916727</t>
  </si>
  <si>
    <t>Rhyloo</t>
  </si>
  <si>
    <t>EF48291325826</t>
  </si>
  <si>
    <t>DV02640338631</t>
  </si>
  <si>
    <t>Devpoint</t>
  </si>
  <si>
    <t>FW90098913403</t>
  </si>
  <si>
    <t>11/16/2024</t>
  </si>
  <si>
    <t>BY74864910553</t>
  </si>
  <si>
    <t>Oba</t>
  </si>
  <si>
    <t>OP46711902207</t>
  </si>
  <si>
    <t>7/22/2025</t>
  </si>
  <si>
    <t>JO77575497285</t>
  </si>
  <si>
    <t>Yotz</t>
  </si>
  <si>
    <t>FS75517126692</t>
  </si>
  <si>
    <t>Tazzy</t>
  </si>
  <si>
    <t>TT26276944027</t>
  </si>
  <si>
    <t>Oodoo</t>
  </si>
  <si>
    <t>IS51996356415</t>
  </si>
  <si>
    <t>CJ49200180731</t>
  </si>
  <si>
    <t>1/28/2025</t>
  </si>
  <si>
    <t>Eadel</t>
  </si>
  <si>
    <t>TD</t>
  </si>
  <si>
    <t>XR07280529473</t>
  </si>
  <si>
    <t>Tavu</t>
  </si>
  <si>
    <t>GA60208760288</t>
  </si>
  <si>
    <t>Quimba</t>
  </si>
  <si>
    <t>ZP72255471632</t>
  </si>
  <si>
    <t>GS98857912760</t>
  </si>
  <si>
    <t>6/21/2025</t>
  </si>
  <si>
    <t>WJ56146880022</t>
  </si>
  <si>
    <t>XP95886797841</t>
  </si>
  <si>
    <t xml:space="preserve">Signed </t>
  </si>
  <si>
    <t>Thoughtbridge</t>
  </si>
  <si>
    <t>AR</t>
  </si>
  <si>
    <t>HJ34925798195</t>
  </si>
  <si>
    <t>2/15/2024</t>
  </si>
  <si>
    <t>LY29123302295</t>
  </si>
  <si>
    <t>Roomm</t>
  </si>
  <si>
    <t>GU93805201681</t>
  </si>
  <si>
    <t>5/22/2025</t>
  </si>
  <si>
    <t>Twitterbridge</t>
  </si>
  <si>
    <t>TN</t>
  </si>
  <si>
    <t>WE35497716093</t>
  </si>
  <si>
    <t>7/28/2025</t>
  </si>
  <si>
    <t>Cogibox</t>
  </si>
  <si>
    <t>PS68706668062</t>
  </si>
  <si>
    <t>12/14/2024</t>
  </si>
  <si>
    <t>IB75656765020</t>
  </si>
  <si>
    <t>IR38292929229</t>
  </si>
  <si>
    <t>6/20/2024</t>
  </si>
  <si>
    <t>Quimm</t>
  </si>
  <si>
    <t>GZ58430755620</t>
  </si>
  <si>
    <t>7/23/2025</t>
  </si>
  <si>
    <t>Eimbee</t>
  </si>
  <si>
    <t>RI38582870154</t>
  </si>
  <si>
    <t>3/31/2024</t>
  </si>
  <si>
    <t>Blognation</t>
  </si>
  <si>
    <t>RS</t>
  </si>
  <si>
    <t>PE85728403393</t>
  </si>
  <si>
    <t>1/29/2025</t>
  </si>
  <si>
    <t>Edgeclub</t>
  </si>
  <si>
    <t>NG</t>
  </si>
  <si>
    <t>YR60193689064</t>
  </si>
  <si>
    <t>5/24/2025</t>
  </si>
  <si>
    <t>Eayo</t>
  </si>
  <si>
    <t>AZ</t>
  </si>
  <si>
    <t>CN22869857696</t>
  </si>
  <si>
    <t>TK34353567457</t>
  </si>
  <si>
    <t>1/18/2024</t>
  </si>
  <si>
    <t>NL</t>
  </si>
  <si>
    <t>XC21370134560</t>
  </si>
  <si>
    <t>IR</t>
  </si>
  <si>
    <t>QY27853798021</t>
  </si>
  <si>
    <t>8/13/2024</t>
  </si>
  <si>
    <t>Riffpedia</t>
  </si>
  <si>
    <t>HD32210260028</t>
  </si>
  <si>
    <t>CW43994322992</t>
  </si>
  <si>
    <t>GD96369758186</t>
  </si>
  <si>
    <t>8/23/2025</t>
  </si>
  <si>
    <t>Roombo</t>
  </si>
  <si>
    <t>BN04017653369</t>
  </si>
  <si>
    <t>NU83243922623</t>
  </si>
  <si>
    <t>2/13/2023</t>
  </si>
  <si>
    <t>PS</t>
  </si>
  <si>
    <t>OR92893858486</t>
  </si>
  <si>
    <t>Zoomlounge</t>
  </si>
  <si>
    <t>OU48210779485</t>
  </si>
  <si>
    <t>12/27/2023</t>
  </si>
  <si>
    <t>KT57870051044</t>
  </si>
  <si>
    <t>PO23532800482</t>
  </si>
  <si>
    <t>Dabvine</t>
  </si>
  <si>
    <t>JH58034550404</t>
  </si>
  <si>
    <t>BH91060540552</t>
  </si>
  <si>
    <t>Vinte</t>
  </si>
  <si>
    <t>UX27163126393</t>
  </si>
  <si>
    <t>8/13/2025</t>
  </si>
  <si>
    <t>Gabvine</t>
  </si>
  <si>
    <t>OW25815872129</t>
  </si>
  <si>
    <t>Skaboo</t>
  </si>
  <si>
    <t>FQ65489743350</t>
  </si>
  <si>
    <t>PZ24157493121</t>
  </si>
  <si>
    <t>WQ65569979877</t>
  </si>
  <si>
    <t>10/31/2025</t>
  </si>
  <si>
    <t>InnoZ</t>
  </si>
  <si>
    <t>NH85331845847</t>
  </si>
  <si>
    <t>8/31/2023</t>
  </si>
  <si>
    <t>DR64378430841</t>
  </si>
  <si>
    <t>Jazzy</t>
  </si>
  <si>
    <t>WE62491393399</t>
  </si>
  <si>
    <t>MN65055576704</t>
  </si>
  <si>
    <t>5/30/2024</t>
  </si>
  <si>
    <t>KW77880823025</t>
  </si>
  <si>
    <t>Ailane</t>
  </si>
  <si>
    <t>UL02296947370</t>
  </si>
  <si>
    <t>9/13/2025</t>
  </si>
  <si>
    <t>MY</t>
  </si>
  <si>
    <t>TZ44790899490</t>
  </si>
  <si>
    <t>5/19/2023</t>
  </si>
  <si>
    <t>NY61808694733</t>
  </si>
  <si>
    <t>10/14/2025</t>
  </si>
  <si>
    <t>BQ26829047517</t>
  </si>
  <si>
    <t>Twinte</t>
  </si>
  <si>
    <t>EB91403638099</t>
  </si>
  <si>
    <t>Vidoo</t>
  </si>
  <si>
    <t>CM86261354448</t>
  </si>
  <si>
    <t>5/26/2023</t>
  </si>
  <si>
    <t>Bubblemix</t>
  </si>
  <si>
    <t>RI18077388216</t>
  </si>
  <si>
    <t>4/16/2025</t>
  </si>
  <si>
    <t>WV56707895036</t>
  </si>
  <si>
    <t>7/26/2025</t>
  </si>
  <si>
    <t>TY56005050440</t>
  </si>
  <si>
    <t>4/27/2023</t>
  </si>
  <si>
    <t>OD74915762047</t>
  </si>
  <si>
    <t>5/17/2024</t>
  </si>
  <si>
    <t>LV94736860720</t>
  </si>
  <si>
    <t>LY26576152199</t>
  </si>
  <si>
    <t>9/15/2025</t>
  </si>
  <si>
    <t>YC84149141461</t>
  </si>
  <si>
    <t>Babbleblab</t>
  </si>
  <si>
    <t>GJ15076114242</t>
  </si>
  <si>
    <t>DG32470116389</t>
  </si>
  <si>
    <t>CA40297932221</t>
  </si>
  <si>
    <t>Trilia</t>
  </si>
  <si>
    <t>DM19793908822</t>
  </si>
  <si>
    <t>Blogtags</t>
  </si>
  <si>
    <t>XQ35760470489</t>
  </si>
  <si>
    <t>Flipopia</t>
  </si>
  <si>
    <t>EE57456713125</t>
  </si>
  <si>
    <t>4/24/2023</t>
  </si>
  <si>
    <t>Meezzy</t>
  </si>
  <si>
    <t>MI23107728371</t>
  </si>
  <si>
    <t>Camido</t>
  </si>
  <si>
    <t>LU40720486727</t>
  </si>
  <si>
    <t>12/19/2023</t>
  </si>
  <si>
    <t>Brainlounge</t>
  </si>
  <si>
    <t>AX45575075505</t>
  </si>
  <si>
    <t>Wikido</t>
  </si>
  <si>
    <t>JA20482109891</t>
  </si>
  <si>
    <t>UD75901888822</t>
  </si>
  <si>
    <t>ZA</t>
  </si>
  <si>
    <t>SG37001188021</t>
  </si>
  <si>
    <t>GC63434694436</t>
  </si>
  <si>
    <t>MU</t>
  </si>
  <si>
    <t>CG89106728379</t>
  </si>
  <si>
    <t>8/23/2023</t>
  </si>
  <si>
    <t>Divavu</t>
  </si>
  <si>
    <t>MN</t>
  </si>
  <si>
    <t>JR04442383273</t>
  </si>
  <si>
    <t>3/30/2023</t>
  </si>
  <si>
    <t>Jabbercube</t>
  </si>
  <si>
    <t>EL63455283481</t>
  </si>
  <si>
    <t>IW10350667194</t>
  </si>
  <si>
    <t>Yakitri</t>
  </si>
  <si>
    <t>QN74548364493</t>
  </si>
  <si>
    <t>Yodel</t>
  </si>
  <si>
    <t>BL52569814327</t>
  </si>
  <si>
    <t>8/20/2023</t>
  </si>
  <si>
    <t>Oloo</t>
  </si>
  <si>
    <t>VO83673816477</t>
  </si>
  <si>
    <t>TH08501583098</t>
  </si>
  <si>
    <t>2/13/2024</t>
  </si>
  <si>
    <t>GE38890648732</t>
  </si>
  <si>
    <t>BC61813741360</t>
  </si>
  <si>
    <t>4/13/2023</t>
  </si>
  <si>
    <t>YS50655534927</t>
  </si>
  <si>
    <t>Youopia</t>
  </si>
  <si>
    <t>PB95106274438</t>
  </si>
  <si>
    <t>6/26/2024</t>
  </si>
  <si>
    <t>BF44126582471</t>
  </si>
  <si>
    <t>YO06474962177</t>
  </si>
  <si>
    <t>10/28/2024</t>
  </si>
  <si>
    <t>RU95582154823</t>
  </si>
  <si>
    <t>7/24/2023</t>
  </si>
  <si>
    <t>Skinder</t>
  </si>
  <si>
    <t>KR11375581938</t>
  </si>
  <si>
    <t>GZ68827464062</t>
  </si>
  <si>
    <t>ND74784359684</t>
  </si>
  <si>
    <t>Miboo</t>
  </si>
  <si>
    <t>QD53582906876</t>
  </si>
  <si>
    <t>6/28/2025</t>
  </si>
  <si>
    <t>AV88643871049</t>
  </si>
  <si>
    <t>GQ63334919797</t>
  </si>
  <si>
    <t>9/25/2025</t>
  </si>
  <si>
    <t>PK</t>
  </si>
  <si>
    <t>VJ62894763668</t>
  </si>
  <si>
    <t>KB85778489987</t>
  </si>
  <si>
    <t>Plajo</t>
  </si>
  <si>
    <t>CI</t>
  </si>
  <si>
    <t>NC95930034174</t>
  </si>
  <si>
    <t>CQ00072241510</t>
  </si>
  <si>
    <t>Jaloo</t>
  </si>
  <si>
    <t>NP43150602024</t>
  </si>
  <si>
    <t>Skimia</t>
  </si>
  <si>
    <t>MK</t>
  </si>
  <si>
    <t>GF27377679845</t>
  </si>
  <si>
    <t>10/18/2025</t>
  </si>
  <si>
    <t>Innojam</t>
  </si>
  <si>
    <t>XU68717972254</t>
  </si>
  <si>
    <t>Brainsphere</t>
  </si>
  <si>
    <t>CR79230210590</t>
  </si>
  <si>
    <t>CW82383877087</t>
  </si>
  <si>
    <t>WM80509688191</t>
  </si>
  <si>
    <t>Realmix</t>
  </si>
  <si>
    <t>QQ61704424877</t>
  </si>
  <si>
    <t>Bluezoom</t>
  </si>
  <si>
    <t>MB63669135975</t>
  </si>
  <si>
    <t>8/21/2023</t>
  </si>
  <si>
    <t>NE17990918369</t>
  </si>
  <si>
    <t>5/27/2024</t>
  </si>
  <si>
    <t>AU58336423816</t>
  </si>
  <si>
    <t>12/29/2023</t>
  </si>
  <si>
    <t>JA53603640308</t>
  </si>
  <si>
    <t>Jabbersphere</t>
  </si>
  <si>
    <t>WM91270226522</t>
  </si>
  <si>
    <t>FC35625650787</t>
  </si>
  <si>
    <t>5/14/2023</t>
  </si>
  <si>
    <t>MD21468486698</t>
  </si>
  <si>
    <t>TM71292407059</t>
  </si>
  <si>
    <t>2/24/2024</t>
  </si>
  <si>
    <t>DZ20925563153</t>
  </si>
  <si>
    <t>HF96521368968</t>
  </si>
  <si>
    <t>IM17322721448</t>
  </si>
  <si>
    <t>YU99675386280</t>
  </si>
  <si>
    <t>Bubblebox</t>
  </si>
  <si>
    <t>MK68688571043</t>
  </si>
  <si>
    <t>GA77959484205</t>
  </si>
  <si>
    <t>Eamia</t>
  </si>
  <si>
    <t>LK</t>
  </si>
  <si>
    <t>YL71991498634</t>
  </si>
  <si>
    <t>6/13/2024</t>
  </si>
  <si>
    <t>Avamm</t>
  </si>
  <si>
    <t>NE37313636937</t>
  </si>
  <si>
    <t>ML</t>
  </si>
  <si>
    <t>EV40670176168</t>
  </si>
  <si>
    <t>2/27/2023</t>
  </si>
  <si>
    <t>Gigashots</t>
  </si>
  <si>
    <t>HF96392220668</t>
  </si>
  <si>
    <t>Realbuzz</t>
  </si>
  <si>
    <t>OW81453175285</t>
  </si>
  <si>
    <t>8/19/2024</t>
  </si>
  <si>
    <t>QV87097031636</t>
  </si>
  <si>
    <t>Kimia</t>
  </si>
  <si>
    <t>OR21772919102</t>
  </si>
  <si>
    <t>2/16/2024</t>
  </si>
  <si>
    <t>EB66212717518</t>
  </si>
  <si>
    <t>KT42462627259</t>
  </si>
  <si>
    <t>VS22112944196</t>
  </si>
  <si>
    <t>Blogtag</t>
  </si>
  <si>
    <t>UH01155981927</t>
  </si>
  <si>
    <t>10/26/2025</t>
  </si>
  <si>
    <t>MT45552410980</t>
  </si>
  <si>
    <t>Brainverse</t>
  </si>
  <si>
    <t>JO42048218087</t>
  </si>
  <si>
    <t>Mudo</t>
  </si>
  <si>
    <t>PB86028369862</t>
  </si>
  <si>
    <t>MY86217881918</t>
  </si>
  <si>
    <t>10/20/2024</t>
  </si>
  <si>
    <t>BJ50874600825</t>
  </si>
  <si>
    <t>2/26/2025</t>
  </si>
  <si>
    <t>FU99273292463</t>
  </si>
  <si>
    <t>GU22742948731</t>
  </si>
  <si>
    <t>MB02163809608</t>
  </si>
  <si>
    <t>3/13/2025</t>
  </si>
  <si>
    <t>Einti</t>
  </si>
  <si>
    <t>MH49383319688</t>
  </si>
  <si>
    <t>OB08515640112</t>
  </si>
  <si>
    <t>9/16/2024</t>
  </si>
  <si>
    <t>RD02981969395</t>
  </si>
  <si>
    <t>DG47333577150</t>
  </si>
  <si>
    <t>NI91699585822</t>
  </si>
  <si>
    <t>6/30/2025</t>
  </si>
  <si>
    <t>Trilith</t>
  </si>
  <si>
    <t>DM04591400401</t>
  </si>
  <si>
    <t>3/25/2024</t>
  </si>
  <si>
    <t>IA71087943615</t>
  </si>
  <si>
    <t>CG98767995409</t>
  </si>
  <si>
    <t>MY23269329608</t>
  </si>
  <si>
    <t>KP03262514123</t>
  </si>
  <si>
    <t>IC81552687896</t>
  </si>
  <si>
    <t>Zava</t>
  </si>
  <si>
    <t>NB37737072885</t>
  </si>
  <si>
    <t>DM04776055533</t>
  </si>
  <si>
    <t>6/22/2023</t>
  </si>
  <si>
    <t>JJ60671837542</t>
  </si>
  <si>
    <t>Zoonoodle</t>
  </si>
  <si>
    <t>IF70584825220</t>
  </si>
  <si>
    <t>Skyndu</t>
  </si>
  <si>
    <t>AG68662506978</t>
  </si>
  <si>
    <t>11/18/2023</t>
  </si>
  <si>
    <t>RL68956707252</t>
  </si>
  <si>
    <t>9/23/2025</t>
  </si>
  <si>
    <t>Pixope</t>
  </si>
  <si>
    <t>KU89555744264</t>
  </si>
  <si>
    <t>Trudeo</t>
  </si>
  <si>
    <t>MO53895317194</t>
  </si>
  <si>
    <t>NZ</t>
  </si>
  <si>
    <t>NZ08542950709</t>
  </si>
  <si>
    <t>NF18150180528</t>
  </si>
  <si>
    <t>HG24131007464</t>
  </si>
  <si>
    <t>3/17/2024</t>
  </si>
  <si>
    <t>HJ47130408462</t>
  </si>
  <si>
    <t>Dabtype</t>
  </si>
  <si>
    <t>XU02411507019</t>
  </si>
  <si>
    <t>7/21/2024</t>
  </si>
  <si>
    <t>Yacero</t>
  </si>
  <si>
    <t>JA05649962460</t>
  </si>
  <si>
    <t>JumpXS</t>
  </si>
  <si>
    <t>CV84352528060</t>
  </si>
  <si>
    <t>YA49562222675</t>
  </si>
  <si>
    <t>10/30/2023</t>
  </si>
  <si>
    <t>Edgetag</t>
  </si>
  <si>
    <t>RV52747751876</t>
  </si>
  <si>
    <t>1/24/2025</t>
  </si>
  <si>
    <t>IC15543118369</t>
  </si>
  <si>
    <t>Katz</t>
  </si>
  <si>
    <t>QW01386513630</t>
  </si>
  <si>
    <t>8/15/2025</t>
  </si>
  <si>
    <t>AA41668444308</t>
  </si>
  <si>
    <t>1/23/2024</t>
  </si>
  <si>
    <t>Yozio</t>
  </si>
  <si>
    <t>LR92839537462</t>
  </si>
  <si>
    <t>BA</t>
  </si>
  <si>
    <t>FE19828298556</t>
  </si>
  <si>
    <t>2/24/2025</t>
  </si>
  <si>
    <t>GA16784798172</t>
  </si>
  <si>
    <t>DU57074026113</t>
  </si>
  <si>
    <t>4/30/2025</t>
  </si>
  <si>
    <t>Gigazoom</t>
  </si>
  <si>
    <t>QV72178069913</t>
  </si>
  <si>
    <t>XJ69156677651</t>
  </si>
  <si>
    <t>12/26/2024</t>
  </si>
  <si>
    <t>TJ16414346682</t>
  </si>
  <si>
    <t>Jaxbean</t>
  </si>
  <si>
    <t>PG</t>
  </si>
  <si>
    <t>RC65866824918</t>
  </si>
  <si>
    <t>5/26/2025</t>
  </si>
  <si>
    <t>DD33106818779</t>
  </si>
  <si>
    <t>8/17/2024</t>
  </si>
  <si>
    <t>GF32009706933</t>
  </si>
  <si>
    <t>Topicware</t>
  </si>
  <si>
    <t>GE19986958805</t>
  </si>
  <si>
    <t>LL88610814739</t>
  </si>
  <si>
    <t>5/15/2023</t>
  </si>
  <si>
    <t>Zooveo</t>
  </si>
  <si>
    <t>SJ93573490636</t>
  </si>
  <si>
    <t>Livepath</t>
  </si>
  <si>
    <t>DA40093048501</t>
  </si>
  <si>
    <t>NS58831082329</t>
  </si>
  <si>
    <t>7/25/2024</t>
  </si>
  <si>
    <t>Topicblab</t>
  </si>
  <si>
    <t>MI49916095776</t>
  </si>
  <si>
    <t>12/24/2024</t>
  </si>
  <si>
    <t>Chatterpoint</t>
  </si>
  <si>
    <t>FB76687044082</t>
  </si>
  <si>
    <t>2/18/2024</t>
  </si>
  <si>
    <t>Lazz</t>
  </si>
  <si>
    <t>AS57225047813</t>
  </si>
  <si>
    <t>Fliptune</t>
  </si>
  <si>
    <t>KH33740244087</t>
  </si>
  <si>
    <t>AZ41147082926</t>
  </si>
  <si>
    <t>4/17/2023</t>
  </si>
  <si>
    <t>XZ29154492986</t>
  </si>
  <si>
    <t>BJ93202607492</t>
  </si>
  <si>
    <t>DG04496944976</t>
  </si>
  <si>
    <t>MB71045467829</t>
  </si>
  <si>
    <t>RM65317084721</t>
  </si>
  <si>
    <t>NC62319900536</t>
  </si>
  <si>
    <t>FD99991552672</t>
  </si>
  <si>
    <t>Eabox</t>
  </si>
  <si>
    <t>YL64332701818</t>
  </si>
  <si>
    <t>GA43009749242</t>
  </si>
  <si>
    <t>7/31/2025</t>
  </si>
  <si>
    <t>GJ59511283228</t>
  </si>
  <si>
    <t>Vimbo</t>
  </si>
  <si>
    <t>XG68312712145</t>
  </si>
  <si>
    <t>MG98070240706</t>
  </si>
  <si>
    <t>10/25/2023</t>
  </si>
  <si>
    <t>UZ35143875201</t>
  </si>
  <si>
    <t>HT20191632745</t>
  </si>
  <si>
    <t>AN89373978435</t>
  </si>
  <si>
    <t>GH53883118080</t>
  </si>
  <si>
    <t>QR17455255790</t>
  </si>
  <si>
    <t>2/21/2024</t>
  </si>
  <si>
    <t>Realfire</t>
  </si>
  <si>
    <t>LE79603238052</t>
  </si>
  <si>
    <t>10/28/2025</t>
  </si>
  <si>
    <t>Thoughtblab</t>
  </si>
  <si>
    <t>LO38655801374</t>
  </si>
  <si>
    <t>Dabshots</t>
  </si>
  <si>
    <t>HM48497331880</t>
  </si>
  <si>
    <t>Fatz</t>
  </si>
  <si>
    <t>LE29327725296</t>
  </si>
  <si>
    <t>CD16007486299</t>
  </si>
  <si>
    <t>FM</t>
  </si>
  <si>
    <t>WR12059337400</t>
  </si>
  <si>
    <t>7/27/2024</t>
  </si>
  <si>
    <t>Linkbuzz</t>
  </si>
  <si>
    <t>AP59460686356</t>
  </si>
  <si>
    <t>7/24/2025</t>
  </si>
  <si>
    <t>BG68586335490</t>
  </si>
  <si>
    <t>4/30/2023</t>
  </si>
  <si>
    <t>XP80211809168</t>
  </si>
  <si>
    <t>XY34784813006</t>
  </si>
  <si>
    <t>DZ88847200326</t>
  </si>
  <si>
    <t>9/29/2024</t>
  </si>
  <si>
    <t>Buzzdog</t>
  </si>
  <si>
    <t>BY65156999822</t>
  </si>
  <si>
    <t>4/24/2025</t>
  </si>
  <si>
    <t>XB74297156583</t>
  </si>
  <si>
    <t>NE</t>
  </si>
  <si>
    <t>FU92582386282</t>
  </si>
  <si>
    <t>11/23/2024</t>
  </si>
  <si>
    <t>QE13444465556</t>
  </si>
  <si>
    <t>Aimbu</t>
  </si>
  <si>
    <t>JM88717791988</t>
  </si>
  <si>
    <t>AY91191440838</t>
  </si>
  <si>
    <t>Kwimbee</t>
  </si>
  <si>
    <t>DR48448945340</t>
  </si>
  <si>
    <t>Pixoboo</t>
  </si>
  <si>
    <t>QC69261173374</t>
  </si>
  <si>
    <t>JQ97990127210</t>
  </si>
  <si>
    <t>1/26/2024</t>
  </si>
  <si>
    <t>KP82309074889</t>
  </si>
  <si>
    <t>RD43085635691</t>
  </si>
  <si>
    <t>TY92003867038</t>
  </si>
  <si>
    <t>DS54746119922</t>
  </si>
  <si>
    <t>XM07122662171</t>
  </si>
  <si>
    <t>7/30/2024</t>
  </si>
  <si>
    <t>JE20997623056</t>
  </si>
  <si>
    <t>CE73298191411</t>
  </si>
  <si>
    <t>DH14195182104</t>
  </si>
  <si>
    <t>2/19/2023</t>
  </si>
  <si>
    <t>ZK43958458858</t>
  </si>
  <si>
    <t>3/26/2023</t>
  </si>
  <si>
    <t>KU59648670059</t>
  </si>
  <si>
    <t>IB68521642779</t>
  </si>
  <si>
    <t>Yamia</t>
  </si>
  <si>
    <t>XX77444745129</t>
  </si>
  <si>
    <t>NM63004150353</t>
  </si>
  <si>
    <t>Latz</t>
  </si>
  <si>
    <t>JE28897593886</t>
  </si>
  <si>
    <t>12/15/2023</t>
  </si>
  <si>
    <t>Babbleset</t>
  </si>
  <si>
    <t>PD38803703182</t>
  </si>
  <si>
    <t>HY26887427301</t>
  </si>
  <si>
    <t>8/29/2024</t>
  </si>
  <si>
    <t>Tazz</t>
  </si>
  <si>
    <t>VQ93427261228</t>
  </si>
  <si>
    <t>9/13/2023</t>
  </si>
  <si>
    <t>JP50357266495</t>
  </si>
  <si>
    <t>10/22/2025</t>
  </si>
  <si>
    <t>BK29469319150</t>
  </si>
  <si>
    <t>MQ76136475898</t>
  </si>
  <si>
    <t>SK31323721974</t>
  </si>
  <si>
    <t>9/30/2023</t>
  </si>
  <si>
    <t>Jayo</t>
  </si>
  <si>
    <t>UJ38682747529</t>
  </si>
  <si>
    <t>SP86458425616</t>
  </si>
  <si>
    <t>10/17/2024</t>
  </si>
  <si>
    <t>UK25416265772</t>
  </si>
  <si>
    <t>4/17/2024</t>
  </si>
  <si>
    <t>Aivee</t>
  </si>
  <si>
    <t>LP25647485278</t>
  </si>
  <si>
    <t>BI90644476480</t>
  </si>
  <si>
    <t>5/20/2024</t>
  </si>
  <si>
    <t>TR55056056503</t>
  </si>
  <si>
    <t>5/21/2023</t>
  </si>
  <si>
    <t>FR19047491836</t>
  </si>
  <si>
    <t>7/31/2024</t>
  </si>
  <si>
    <t>Meedoo</t>
  </si>
  <si>
    <t>FY68558085851</t>
  </si>
  <si>
    <t>FG96514509063</t>
  </si>
  <si>
    <t>8/28/2023</t>
  </si>
  <si>
    <t>Jetwire</t>
  </si>
  <si>
    <t>QT49896250665</t>
  </si>
  <si>
    <t>11/14/2024</t>
  </si>
  <si>
    <t>QG06566802005</t>
  </si>
  <si>
    <t>LT</t>
  </si>
  <si>
    <t>CG42542751973</t>
  </si>
  <si>
    <t>3/21/2024</t>
  </si>
  <si>
    <t>CZ38659055717</t>
  </si>
  <si>
    <t>CL08278169562</t>
  </si>
  <si>
    <t>5/29/2025</t>
  </si>
  <si>
    <t>QV42217208914</t>
  </si>
  <si>
    <t>5/16/2023</t>
  </si>
  <si>
    <t>Shufflester</t>
  </si>
  <si>
    <t>WA06563048931</t>
  </si>
  <si>
    <t>2/29/2024</t>
  </si>
  <si>
    <t>WU04189699710</t>
  </si>
  <si>
    <t>Oyoba</t>
  </si>
  <si>
    <t>ER94249184844</t>
  </si>
  <si>
    <t>Twimbo</t>
  </si>
  <si>
    <t>NP67854592043</t>
  </si>
  <si>
    <t>9/22/2024</t>
  </si>
  <si>
    <t>Feedfish</t>
  </si>
  <si>
    <t>DN35119440005</t>
  </si>
  <si>
    <t>7/20/2025</t>
  </si>
  <si>
    <t>RB08463682512</t>
  </si>
  <si>
    <t>3/29/2024</t>
  </si>
  <si>
    <t>COUNTA de Global status</t>
  </si>
  <si>
    <t>COMPLIANT</t>
  </si>
  <si>
    <t>CRITICAL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</si>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</sst>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Third-Party Compliance Risk Overview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'Tableau croisé dynamique 1'!$B$1</c:f>
            </c:strRef>
          </c:tx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croisé dynamique 1'!$A$2:$A$3</c:f>
            </c:strRef>
          </c:cat>
          <c:val>
            <c:numRef>
              <c:f>'Tableau croisé dynamique 1'!$B$2:$B$3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5</xdr:row>
      <xdr:rowOff>19050</xdr:rowOff>
    </xdr:from>
    <xdr:ext cx="4810125" cy="29718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1" sheet="MOCK_DATA"/>
  </cacheSource>
  <cacheFields>
    <cacheField name="Partner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</sharedItems>
    </cacheField>
    <cacheField name="Partner_Name" numFmtId="0">
      <sharedItems>
        <s v="Jabberbean"/>
        <s v="Trunyx"/>
        <s v="Jaxnation"/>
        <s v="Pixonyx"/>
        <s v="Zoozzy"/>
        <s v="Wikivu"/>
        <s v="Youspan"/>
        <s v="Podcat"/>
        <s v="Voonte"/>
        <s v="Dynazzy"/>
        <s v="Realcube"/>
        <s v="Lazzy"/>
        <s v="Eire"/>
        <s v="Feedbug"/>
        <s v="Oyonder"/>
        <s v="Tambee"/>
        <s v="Ntag"/>
        <s v="Vinder"/>
        <s v="Midel"/>
        <s v="Dablist"/>
        <s v="Babbleopia"/>
        <s v="Agivu"/>
        <s v="Devbug"/>
        <s v="Izio"/>
        <s v="Zoomzone"/>
        <s v="Yata"/>
        <s v="Jabberstorm"/>
        <s v="Cogidoo"/>
        <s v="Leexo"/>
        <s v="Yakijo"/>
        <s v="Kwinu"/>
        <s v="Demizz"/>
        <s v="Topicshots"/>
        <s v="Oyoloo"/>
        <s v="Omba"/>
        <s v="Wikibox"/>
        <s v="Wordify"/>
        <s v="Chatterbridge"/>
        <s v="Photobug"/>
        <s v="Kwilith"/>
        <s v="Buzzster"/>
        <s v="Linktype"/>
        <s v="Camimbo"/>
        <s v="Feedmix"/>
        <s v="Npath"/>
        <s v="Eazzy"/>
        <s v="Talane"/>
        <s v="Tekfly"/>
        <s v="Trupe"/>
        <s v="Linklinks"/>
        <s v="Demivee"/>
        <s v="Wordware"/>
        <s v="Dabfeed"/>
        <s v="Teklist"/>
        <s v="Centizu"/>
        <s v="Quamba"/>
        <s v="Jaxworks"/>
        <s v="Geba"/>
        <s v="Devcast"/>
        <s v="Rhybox"/>
        <s v="Bubbletube"/>
        <s v="Zazio"/>
        <s v="Yabox"/>
        <s v="Zoovu"/>
        <s v="Digitube"/>
        <s v="Fanoodle"/>
        <s v="Yoveo"/>
        <s v="Flipstorm"/>
        <s v="Quatz"/>
        <s v="Centimia"/>
        <s v="Divanoodle"/>
        <s v="Photobean"/>
        <s v="Gabtune"/>
        <s v="Kaymbo"/>
        <s v="Rhynyx"/>
        <s v="Realpoint"/>
        <s v="Jatri"/>
        <s v="Fivechat"/>
        <s v="Mita"/>
        <s v="Centidel"/>
        <s v="Skinte"/>
        <s v="Agimba"/>
        <s v="Gigabox"/>
        <s v="Voolia"/>
        <s v="Meemm"/>
        <s v="Tagfeed"/>
        <s v="Flashdog"/>
        <s v="Avaveo"/>
        <s v="Yodoo"/>
        <s v="Youbridge"/>
        <s v="Oyondu"/>
        <s v="Twimm"/>
        <s v="Zoomcast"/>
        <s v="Gevee"/>
        <s v="Twiyo"/>
        <s v="Mynte"/>
        <s v="Browsecat"/>
        <s v="Photofeed"/>
        <s v="Meevee"/>
        <s v="Gabspot"/>
        <s v="Fivebridge"/>
        <s v="Demimbu"/>
        <s v="Yadel"/>
        <s v="Devpulse"/>
        <s v="Tanoodle"/>
        <s v="Layo"/>
        <s v="Snaptags"/>
        <s v="Youfeed"/>
        <s v="Skyba"/>
        <s v="Flashset"/>
        <s v="Plambee"/>
        <s v="Flipbug"/>
        <s v="Fiveclub"/>
        <s v="Wikizz"/>
        <s v="Rhynoodle"/>
        <s v="Devify"/>
        <s v="Viva"/>
        <s v="Muxo"/>
        <s v="Skipfire"/>
        <s v="Zooxo"/>
        <s v="Skyvu"/>
        <s v="Skyble"/>
        <s v="Shufflebeat"/>
        <s v="Twitternation"/>
        <s v="Skiba"/>
        <s v="Abatz"/>
        <s v="Gigaclub"/>
        <s v="Topicstorm"/>
        <s v="Jabbertype"/>
        <s v="Voonyx"/>
        <s v="Twitterbeat"/>
        <s v="Thoughtstorm"/>
        <s v="Mydo"/>
        <s v="Thoughtworks"/>
        <s v="Photolist"/>
        <s v="Voonder"/>
        <s v="Skynoodle"/>
        <s v="Browsedrive"/>
        <s v="Quinu"/>
        <s v="Voomm"/>
        <s v="Oozz"/>
        <s v="Fivespan"/>
        <s v="LiveZ"/>
        <s v="DabZ"/>
        <s v="Twinder"/>
        <s v="Eidel"/>
        <s v="Photojam"/>
        <s v="Cogilith"/>
        <s v="Skilith"/>
        <s v="Kayveo"/>
        <s v="Gabtype"/>
        <s v="Oyoyo"/>
        <s v="Mymm"/>
        <s v="Skidoo"/>
        <s v="Thoughtsphere"/>
        <s v="Livetube"/>
        <s v="Youtags"/>
        <s v="Lajo"/>
        <s v="Kazio"/>
        <s v="Nlounge"/>
        <s v="Skajo"/>
        <s v="Skippad"/>
        <s v="Twitterlist"/>
        <s v="Devshare"/>
        <s v="Blogpad"/>
        <s v="Reallinks"/>
        <s v="Ainyx"/>
        <s v="Ooba"/>
        <s v="Meeveo"/>
        <s v="Myworks"/>
        <s v="Mydeo"/>
        <s v="Rhyloo"/>
        <s v="Devpoint"/>
        <s v="Oba"/>
        <s v="Yotz"/>
        <s v="Tazzy"/>
        <s v="Oodoo"/>
        <s v="Eadel"/>
        <s v="Tavu"/>
        <s v="Quimba"/>
        <s v="Thoughtbridge"/>
        <s v="Roomm"/>
        <s v="Twitterbridge"/>
        <s v="Cogibox"/>
        <s v="Quimm"/>
        <s v="Eimbee"/>
        <s v="Blognation"/>
        <s v="Edgeclub"/>
        <s v="Eayo"/>
        <s v="Riffpedia"/>
        <s v="Roombo"/>
        <s v="Zoomlounge"/>
        <s v="Dabvine"/>
        <s v="Vinte"/>
        <s v="Gabvine"/>
        <s v="Skaboo"/>
        <s v="InnoZ"/>
        <s v="Jazzy"/>
        <s v="Ailane"/>
        <s v="Twinte"/>
        <s v="Vidoo"/>
        <s v="Bubblemix"/>
        <s v="Babbleblab"/>
        <s v="Trilia"/>
        <s v="Blogtags"/>
        <s v="Flipopia"/>
        <s v="Meezzy"/>
        <s v="Camido"/>
        <s v="Brainlounge"/>
        <s v="Wikido"/>
        <s v="Divavu"/>
        <s v="Jabbercube"/>
        <s v="Yakitri"/>
        <s v="Yodel"/>
        <s v="Oloo"/>
        <s v="Youopia"/>
        <s v="Skinder"/>
        <s v="Miboo"/>
        <s v="Plajo"/>
        <s v="Jaloo"/>
        <s v="Skimia"/>
        <s v="Innojam"/>
        <s v="Brainsphere"/>
        <s v="Realmix"/>
        <s v="Bluezoom"/>
        <s v="Jabbersphere"/>
        <s v="Bubblebox"/>
        <s v="Eamia"/>
        <s v="Avamm"/>
        <s v="Gigashots"/>
        <s v="Realbuzz"/>
        <s v="Kimia"/>
        <s v="Blogtag"/>
        <s v="Brainverse"/>
        <s v="Mudo"/>
        <s v="Einti"/>
        <s v="Trilith"/>
        <s v="Zava"/>
        <s v="Zoonoodle"/>
        <s v="Skyndu"/>
        <s v="Pixope"/>
        <s v="Trudeo"/>
        <s v="Dabtype"/>
        <s v="Yacero"/>
        <s v="JumpXS"/>
        <s v="Edgetag"/>
        <s v="Katz"/>
        <s v="Yozio"/>
        <s v="Gigazoom"/>
        <s v="Jaxbean"/>
        <s v="Topicware"/>
        <s v="Zooveo"/>
        <s v="Livepath"/>
        <s v="Topicblab"/>
        <s v="Chatterpoint"/>
        <s v="Lazz"/>
        <s v="Fliptune"/>
        <s v="Eabox"/>
        <s v="Vimbo"/>
        <s v="Realfire"/>
        <s v="Thoughtblab"/>
        <s v="Dabshots"/>
        <s v="Fatz"/>
        <s v="Linkbuzz"/>
        <s v="Buzzdog"/>
        <s v="Aimbu"/>
        <s v="Kwimbee"/>
        <s v="Pixoboo"/>
        <s v="Yamia"/>
        <s v="Latz"/>
        <s v="Babbleset"/>
        <s v="Tazz"/>
        <s v="Jayo"/>
        <s v="Aivee"/>
        <s v="Meedoo"/>
        <s v="Jetwire"/>
        <s v="Shufflester"/>
        <s v="Oyoba"/>
        <s v="Twimbo"/>
        <s v="Feedfish"/>
      </sharedItems>
    </cacheField>
    <cacheField name="Partner_Type" numFmtId="0">
      <sharedItems>
        <s v="Raw Material Supplier"/>
        <s v="Influencer Agency"/>
        <s v="Retail Tech"/>
        <s v="Packaging &amp; Glass"/>
        <s v="CRO - Clinical Research"/>
      </sharedItems>
    </cacheField>
    <cacheField name="HQ_Country" numFmtId="0">
      <sharedItems>
        <s v="US"/>
        <s v="PT"/>
        <s v="LV"/>
        <s v="BR"/>
        <s v="PL"/>
        <s v="ID"/>
        <s v="TH"/>
        <s v="YE"/>
        <s v="BO"/>
        <s v="MR"/>
        <s v="SE"/>
        <s v="CO"/>
        <s v="PH"/>
        <s v="CN"/>
        <s v="AF"/>
        <s v="ZW"/>
        <s v="PE"/>
        <s v="DO"/>
        <s v="FI"/>
        <s v="UA"/>
        <s v="TL"/>
        <s v="NO"/>
        <s v="IE"/>
        <s v="RU"/>
        <s v="CZ"/>
        <s v="HN"/>
        <s v="KR"/>
        <s v="FR"/>
        <s v="SA"/>
        <s v="LA"/>
        <s v="TJ"/>
        <s v="SI"/>
        <s v="CR"/>
        <s v="PY"/>
        <s v="MX"/>
        <s v="IT"/>
        <s v="AL"/>
        <s v="JP"/>
        <s v="EE"/>
        <s v="CU"/>
        <s v="SY"/>
        <s v="CA"/>
        <s v="DK"/>
        <s v="KZ"/>
        <s v="MA"/>
        <s v="EC"/>
        <s v="ZM"/>
        <s v="GR"/>
        <s v="VE"/>
        <s v="SO"/>
        <s v="UZ"/>
        <s v="BY"/>
        <s v="HR"/>
        <s v="DE"/>
        <s v="NA"/>
        <s v="CM"/>
        <s v="VN"/>
        <s v="SN"/>
        <s v="AM"/>
        <s v="ET"/>
        <s v="TD"/>
        <s v="AR"/>
        <s v="TN"/>
        <s v="RS"/>
        <s v="NG"/>
        <s v="AZ"/>
        <s v="NL"/>
        <s v="IR"/>
        <s v="PS"/>
        <s v="MY"/>
        <s v="ZA"/>
        <s v="MU"/>
        <s v="MN"/>
        <s v="PK"/>
        <s v="CI"/>
        <s v="MK"/>
        <s v="LK"/>
        <s v="ML"/>
        <s v="NZ"/>
        <s v="BA"/>
        <s v="PG"/>
        <s v="FM"/>
        <s v="NE"/>
        <s v="LT"/>
      </sharedItems>
    </cacheField>
    <cacheField name="BanQ_Country" numFmtId="0">
      <sharedItems>
        <s v="US"/>
        <s v="PT"/>
        <s v="LV"/>
        <s v="BR"/>
        <s v="PL"/>
        <s v="ID"/>
        <s v="TH"/>
        <s v="YE"/>
        <s v="BO"/>
        <s v="MR"/>
        <s v="SE"/>
        <s v="CO"/>
        <s v="PH"/>
        <s v="CN"/>
        <s v="AF"/>
        <s v="ZW"/>
        <s v="PE"/>
        <s v="DO"/>
        <s v="FI"/>
        <s v="UA"/>
        <s v="TL"/>
        <s v="NO"/>
        <s v="IE"/>
        <s v="RU"/>
        <s v="CZ"/>
        <s v="HN"/>
        <s v="KR"/>
        <s v="FR"/>
        <s v="SA"/>
        <s v="LA"/>
        <s v="TJ"/>
        <s v="SI"/>
        <s v="CR"/>
        <s v="PY"/>
        <s v="MX"/>
        <s v="IT"/>
        <s v="AL"/>
        <s v="JP"/>
        <s v="EE"/>
        <s v="CU"/>
        <s v="SY"/>
        <s v="CA"/>
        <s v="DK"/>
        <s v="KZ"/>
        <s v="MA"/>
        <s v="EC"/>
        <s v="ZM"/>
        <s v="GR"/>
        <s v="VE"/>
        <s v="BY"/>
        <s v="VH"/>
        <s v="HR"/>
        <s v="DE"/>
        <s v="CM"/>
        <s v="VN"/>
        <s v="SN"/>
        <s v="AM"/>
        <s v="ET"/>
        <s v="TD"/>
        <s v="TN"/>
        <s v="RS"/>
        <s v="NG"/>
        <s v="AZ"/>
        <s v="NL"/>
        <s v="IR"/>
        <s v="PS"/>
        <s v="MY"/>
        <s v="ZA"/>
        <s v="MU"/>
        <s v="MN"/>
        <s v="PK"/>
        <s v="CI"/>
        <s v="AR"/>
        <s v="MK"/>
        <s v="LK"/>
        <s v="ML"/>
        <s v="NZ"/>
        <s v="BA"/>
        <s v="PG"/>
        <s v="FM"/>
        <s v="NE"/>
        <s v="UZ"/>
        <s v="LT"/>
      </sharedItems>
    </cacheField>
    <cacheField name="VAT_Number" numFmtId="0">
      <sharedItems>
        <s v="RL92773631503"/>
        <s v="MT97435011741"/>
        <s v="AN87287309835"/>
        <s v="ZW09635496470"/>
        <s v="RX87240407999"/>
        <s v="RN09815264738"/>
        <s v="RF33888018171"/>
        <s v="FW45714533513"/>
        <s v="MC41140582095"/>
        <s v="HB15808621591"/>
        <s v="RT51248687033"/>
        <s v="LJ94048112590"/>
        <s v="VW38242216871"/>
        <s v="IY09295175460"/>
        <s v="MQ75880161960"/>
        <s v="BK73136949851"/>
        <s v="AC37252111005"/>
        <s v="CM98550020715"/>
        <s v="BD30877411450"/>
        <s v="RN85783673758"/>
        <s v="YI99613249123"/>
        <s v="RP66919940440"/>
        <s v="FE10459306734"/>
        <s v="YW85428926809"/>
        <s v="WH54851870463"/>
        <s v="BW73359848339"/>
        <s v="DJ25892923265"/>
        <s v="UG98595599786"/>
        <s v="CJ84686442075"/>
        <s v="VM94410081641"/>
        <s v="HC56082606771"/>
        <s v="NI67316117375"/>
        <s v="AC21208150478"/>
        <s v="AD15608236481"/>
        <s v="EI00253018991"/>
        <s v="ZZ82506861117"/>
        <s v="XR94080085217"/>
        <s v="UP66066776713"/>
        <s v="FB39013614105"/>
        <s v="PH47753718513"/>
        <s v="NK35873511391"/>
        <s v="FV10127647994"/>
        <s v="QE40382746254"/>
        <s v="DI80907622806"/>
        <s v="PP08970616761"/>
        <s v="GV68265437774"/>
        <s v="UF95696942933"/>
        <s v="KL06095973349"/>
        <s v="ZO93721491211"/>
        <s v="IX69884436924"/>
        <s v="VO44567931877"/>
        <s v="SH16640509984"/>
        <s v="LR49445186649"/>
        <s v="YZ11891761569"/>
        <s v="RS01565054399"/>
        <s v="BK66331707620"/>
        <s v="TX20407498199"/>
        <s v="MO50878973124"/>
        <s v="QV78267919770"/>
        <s v="OV28343655474"/>
        <s v="CV51222407676"/>
        <s v="TJ42056615843"/>
        <s v="RG56033442408"/>
        <s v="HZ71986544144"/>
        <s v="WI51048976053"/>
        <s v="YC28438482241"/>
        <s v="TC27130787110"/>
        <s v="YK81461985611"/>
        <s v="UF30553621701"/>
        <s v="FL08569425876"/>
        <s v="GQ49062433269"/>
        <s v="RM59969256734"/>
        <s v="ME80534764113"/>
        <s v="FZ85841616951"/>
        <s v="YT18606291265"/>
        <s v="HD25020055107"/>
        <s v="MJ29035294357"/>
        <s v="DC70333335827"/>
        <s v="VH50656345804"/>
        <s v="JP92526015324"/>
        <s v="QZ95182838293"/>
        <s v="EF79835319181"/>
        <s v="VZ90390754424"/>
        <s v="TC38848696940"/>
        <s v="UU77668614747"/>
        <s v="BF41547579725"/>
        <s v="LL14828340087"/>
        <s v="SY00359209884"/>
        <s v="GS16037402813"/>
        <s v="CK45506942876"/>
        <s v="SE55912544528"/>
        <s v="BE36265155775"/>
        <s v="RM07125510872"/>
        <s v="IJ09167330567"/>
        <s v="SF43547243178"/>
        <s v="VQ67390590520"/>
        <s v="BP51535594895"/>
        <s v="DI75828769861"/>
        <s v="FT92219629087"/>
        <s v="CI00529293871"/>
        <s v="MN09744133009"/>
        <s v="QO29102978146"/>
        <s v="FW60086749495"/>
        <s v="OJ07092712259"/>
        <s v="GC83570529058"/>
        <s v="ZO84121435762"/>
        <s v="FA45132170030"/>
        <s v="BB23640739431"/>
        <s v="AZ81715439687"/>
        <s v="HD60701954102"/>
        <s v="UC15657283608"/>
        <s v="PE98850358873"/>
        <s v="BZ06514691411"/>
        <s v="FT83979230974"/>
        <s v="LN80551875878"/>
        <s v="BY94182398057"/>
        <s v="TV79361056555"/>
        <s v="XU53170019853"/>
        <s v="DZ58270089103"/>
        <s v="NJ87284545319"/>
        <s v="ET96371213711"/>
        <s v="FD68168329576"/>
        <s v="FH52055109535"/>
        <s v="MG70700175893"/>
        <s v="DS69290424180"/>
        <s v="IT59809217114"/>
        <s v="NV75520995936"/>
        <s v="JZ77438629583"/>
        <s v="WD87612707107"/>
        <s v="RE69781484414"/>
        <s v="AA74079265108"/>
        <s v="PP65795243933"/>
        <s v="LM82206999568"/>
        <s v="MP70930245664"/>
        <s v="PD94538417342"/>
        <s v="RT30762985124"/>
        <s v="XB28434550491"/>
        <s v="BU45794254308"/>
        <s v="PS92328226135"/>
        <s v="GA77089511505"/>
        <s v="XD32517381331"/>
        <s v="AO12535490018"/>
        <s v="WO02436930779"/>
        <s v="RV53566647306"/>
        <s v="NH41093994916"/>
        <s v="JF19740953322"/>
        <s v="TX96706860797"/>
        <s v="IE80666550476"/>
        <s v="XL16462626837"/>
        <s v="WJ41299129177"/>
        <s v="SJ27764060223"/>
        <s v="KU33743182957"/>
        <s v="TH98478164987"/>
        <s v="QE17984778451"/>
        <s v="KK82494580995"/>
        <s v="BC19965727291"/>
        <s v="IS47069928468"/>
        <s v="PB84158002317"/>
        <s v="HJ17223702443"/>
        <s v="AM66542740888"/>
        <s v="LP78702349382"/>
        <s v="NB04094744061"/>
        <s v="CC77461245214"/>
        <s v="GL27056886959"/>
        <s v="XC38887330130"/>
        <s v="KO40372509096"/>
        <s v="UA66444590247"/>
        <s v="YD67836211237"/>
        <s v="SX81531170834"/>
        <s v="MW96081656535"/>
        <s v="HU11462769742"/>
        <s v="IH92798501812"/>
        <s v="CQ80746586231"/>
        <s v="VN90549477300"/>
        <s v="TZ48407187209"/>
        <s v="TU65817557918"/>
        <s v="EC54687997226"/>
        <s v="WN15127866813"/>
        <s v="JG56650246689"/>
        <s v="CR18161419787"/>
        <s v="RB99410494389"/>
        <s v="FD71653476521"/>
        <s v="CT44570274581"/>
        <s v="ZU64985846866"/>
        <s v="NH01633401610"/>
        <s v="JT20606949424"/>
        <s v="FH87877207531"/>
        <s v="VK56168051869"/>
        <s v="VG97460621670"/>
        <s v="WY98512684082"/>
        <s v="ZC02044136118"/>
        <s v="EW33559912799"/>
        <s v="EM45460125088"/>
        <s v="DQ34761282297"/>
        <s v="FM12808176198"/>
        <s v="AU26097735684"/>
        <s v="UF82819024416"/>
        <s v="FQ53132021744"/>
        <s v="ZD86504791903"/>
        <s v="GH41009847548"/>
        <s v="XT64745090799"/>
        <s v="OQ41109131831"/>
        <s v="OR09460919485"/>
        <s v="HR30837968190"/>
        <s v="SF76161234871"/>
        <s v="FU82071788216"/>
        <s v="SO35674240677"/>
        <s v="ND85661367341"/>
        <s v="UQ16777848526"/>
        <s v="BG06463954486"/>
        <s v="DA47071765619"/>
        <s v="AU07593425626"/>
        <s v="LR47882829271"/>
        <s v="LQ89238908093"/>
        <s v="FW98059150024"/>
        <s v="QK25099590301"/>
        <s v="JB81632294472"/>
        <s v="VG60091261587"/>
        <s v="VF32333925160"/>
        <s v="UQ82549759128"/>
        <s v="SG17887651152"/>
        <s v="AO35150756994"/>
        <s v="GM43929005664"/>
        <s v="ND08674550906"/>
        <s v="RZ44281033993"/>
        <s v="KM57152955280"/>
        <s v="RZ42675916727"/>
        <s v="EF48291325826"/>
        <s v="DV02640338631"/>
        <s v="FW90098913403"/>
        <s v="BY74864910553"/>
        <s v="OP46711902207"/>
        <s v="JO77575497285"/>
        <s v="FS75517126692"/>
        <s v="TT26276944027"/>
        <s v="IS51996356415"/>
        <s v="CJ49200180731"/>
        <s v="XR07280529473"/>
        <s v="GA60208760288"/>
        <s v="ZP72255471632"/>
        <s v="GS98857912760"/>
        <s v="WJ56146880022"/>
        <s v="XP95886797841"/>
        <s v="HJ34925798195"/>
        <s v="LY29123302295"/>
        <s v="GU93805201681"/>
        <s v="WE35497716093"/>
        <s v="PS68706668062"/>
        <s v="IB75656765020"/>
        <s v="IR38292929229"/>
        <s v="GZ58430755620"/>
        <s v="RI38582870154"/>
        <s v="PE85728403393"/>
        <s v="YR60193689064"/>
        <s v="CN22869857696"/>
        <s v="TK34353567457"/>
        <s v="XC21370134560"/>
        <s v="QY27853798021"/>
        <s v="HD32210260028"/>
        <s v="CW43994322992"/>
        <s v="GD96369758186"/>
        <s v="BN04017653369"/>
        <s v="NU83243922623"/>
        <s v="OR92893858486"/>
        <s v="OU48210779485"/>
        <s v="KT57870051044"/>
        <s v="PO23532800482"/>
        <s v="JH58034550404"/>
        <s v="BH91060540552"/>
        <s v="UX27163126393"/>
        <s v="OW25815872129"/>
        <s v="FQ65489743350"/>
        <s v="PZ24157493121"/>
        <s v="WQ65569979877"/>
        <s v="NH85331845847"/>
        <s v="DR64378430841"/>
        <s v="WE62491393399"/>
        <s v="MN65055576704"/>
        <s v="KW77880823025"/>
        <s v="UL02296947370"/>
        <s v="TZ44790899490"/>
        <s v="NY61808694733"/>
        <s v="BQ26829047517"/>
        <s v="EB91403638099"/>
        <s v="CM86261354448"/>
        <s v="RI18077388216"/>
        <s v="WV56707895036"/>
        <s v="TY56005050440"/>
        <s v="OD74915762047"/>
        <s v="LV94736860720"/>
        <s v="LY26576152199"/>
        <s v="YC84149141461"/>
        <s v="GJ15076114242"/>
        <s v="DG32470116389"/>
        <s v="CA40297932221"/>
        <s v="DM19793908822"/>
        <s v="XQ35760470489"/>
        <s v="EE57456713125"/>
        <s v="MI23107728371"/>
        <s v="LU40720486727"/>
        <s v="AX45575075505"/>
        <s v="JA20482109891"/>
        <s v="UD75901888822"/>
        <s v="SG37001188021"/>
        <s v="GC63434694436"/>
        <s v="CG89106728379"/>
        <s v="JR04442383273"/>
        <s v="EL63455283481"/>
        <s v="IW10350667194"/>
        <s v="QN74548364493"/>
        <s v="BL52569814327"/>
        <s v="VO83673816477"/>
        <s v="TH08501583098"/>
        <s v="GE38890648732"/>
        <s v="BC61813741360"/>
        <s v="YS50655534927"/>
        <s v="PB95106274438"/>
        <s v="BF44126582471"/>
        <s v="YO06474962177"/>
        <s v="RU95582154823"/>
        <s v="KR11375581938"/>
        <s v="GZ68827464062"/>
        <s v="ND74784359684"/>
        <s v="QD53582906876"/>
        <s v="AV88643871049"/>
        <s v="GQ63334919797"/>
        <s v="VJ62894763668"/>
        <s v="KB85778489987"/>
        <s v="NC95930034174"/>
        <s v="CQ00072241510"/>
        <s v="NP43150602024"/>
        <s v="GF27377679845"/>
        <s v="XU68717972254"/>
        <s v="CR79230210590"/>
        <s v="CW82383877087"/>
        <s v="WM80509688191"/>
        <s v="QQ61704424877"/>
        <s v="MB63669135975"/>
        <s v="NE17990918369"/>
        <s v="AU58336423816"/>
        <s v="JA53603640308"/>
        <s v="WM91270226522"/>
        <s v="FC35625650787"/>
        <s v="MD21468486698"/>
        <s v="TM71292407059"/>
        <s v="DZ20925563153"/>
        <s v="HF96521368968"/>
        <s v="IM17322721448"/>
        <s v="YU99675386280"/>
        <s v="MK68688571043"/>
        <s v="GA77959484205"/>
        <s v="YL71991498634"/>
        <s v="NE37313636937"/>
        <s v="EV40670176168"/>
        <s v="HF96392220668"/>
        <s v="OW81453175285"/>
        <s v="QV87097031636"/>
        <s v="OR21772919102"/>
        <s v="EB66212717518"/>
        <s v="KT42462627259"/>
        <s v="VS22112944196"/>
        <s v="UH01155981927"/>
        <s v="MT45552410980"/>
        <s v="JO42048218087"/>
        <s v="PB86028369862"/>
        <s v="MY86217881918"/>
        <s v="BJ50874600825"/>
        <s v="FU99273292463"/>
        <s v="GU22742948731"/>
        <s v="MB02163809608"/>
        <s v="MH49383319688"/>
        <s v="OB08515640112"/>
        <s v="RD02981969395"/>
        <s v="DG47333577150"/>
        <s v="NI91699585822"/>
        <s v="DM04591400401"/>
        <s v="IA71087943615"/>
        <s v="CG98767995409"/>
        <s v="MY23269329608"/>
        <s v="KP03262514123"/>
        <s v="IC81552687896"/>
        <s v="NB37737072885"/>
        <s v="DM04776055533"/>
        <s v="JJ60671837542"/>
        <s v="IF70584825220"/>
        <s v="AG68662506978"/>
        <s v="RL68956707252"/>
        <s v="KU89555744264"/>
        <s v="MO53895317194"/>
        <s v="NZ08542950709"/>
        <s v="NF18150180528"/>
        <s v="HG24131007464"/>
        <s v="HJ47130408462"/>
        <s v="XU02411507019"/>
        <s v="JA05649962460"/>
        <s v="CV84352528060"/>
        <s v="YA49562222675"/>
        <s v="RV52747751876"/>
        <s v="IC15543118369"/>
        <s v="QW01386513630"/>
        <s v="AA41668444308"/>
        <s v="LR92839537462"/>
        <s v="FE19828298556"/>
        <s v="GA16784798172"/>
        <s v="DU57074026113"/>
        <s v="QV72178069913"/>
        <s v="XJ69156677651"/>
        <s v="TJ16414346682"/>
        <s v="RC65866824918"/>
        <s v="DD33106818779"/>
        <s v="GF32009706933"/>
        <s v="GE19986958805"/>
        <s v="LL88610814739"/>
        <s v="SJ93573490636"/>
        <s v="DA40093048501"/>
        <s v="NS58831082329"/>
        <s v="MI49916095776"/>
        <s v="FB76687044082"/>
        <s v="AS57225047813"/>
        <s v="KH33740244087"/>
        <s v="AZ41147082926"/>
        <s v="XZ29154492986"/>
        <s v="BJ93202607492"/>
        <s v="DG04496944976"/>
        <s v="MB71045467829"/>
        <s v="RM65317084721"/>
        <s v="NC62319900536"/>
        <s v="FD99991552672"/>
        <s v="YL64332701818"/>
        <s v="GA43009749242"/>
        <s v="GJ59511283228"/>
        <s v="XG68312712145"/>
        <s v="MG98070240706"/>
        <s v="UZ35143875201"/>
        <s v="HT20191632745"/>
        <s v="AN89373978435"/>
        <s v="GH53883118080"/>
        <s v="QR17455255790"/>
        <s v="LE79603238052"/>
        <s v="LO38655801374"/>
        <s v="HM48497331880"/>
        <s v="LE29327725296"/>
        <s v="CD16007486299"/>
        <s v="WR12059337400"/>
        <s v="AP59460686356"/>
        <s v="BG68586335490"/>
        <s v="XP80211809168"/>
        <s v="XY34784813006"/>
        <s v="DZ88847200326"/>
        <s v="BY65156999822"/>
        <s v="XB74297156583"/>
        <s v="FU92582386282"/>
        <s v="QE13444465556"/>
        <s v="JM88717791988"/>
        <s v="AY91191440838"/>
        <s v="DR48448945340"/>
        <s v="QC69261173374"/>
        <s v="JQ97990127210"/>
        <s v="KP82309074889"/>
        <s v="RD43085635691"/>
        <s v="TY92003867038"/>
        <s v="DS54746119922"/>
        <s v="XM07122662171"/>
        <s v="JE20997623056"/>
        <s v="CE73298191411"/>
        <s v="DH14195182104"/>
        <s v="ZK43958458858"/>
        <s v="KU59648670059"/>
        <s v="IB68521642779"/>
        <s v="XX77444745129"/>
        <s v="NM63004150353"/>
        <s v="JE28897593886"/>
        <s v="PD38803703182"/>
        <s v="HY26887427301"/>
        <s v="VQ93427261228"/>
        <s v="JP50357266495"/>
        <s v="BK29469319150"/>
        <s v="MQ76136475898"/>
        <s v="SK31323721974"/>
        <s v="UJ38682747529"/>
        <s v="SP86458425616"/>
        <s v="UK25416265772"/>
        <s v="LP25647485278"/>
        <s v="BI90644476480"/>
        <s v="TR55056056503"/>
        <s v="FR19047491836"/>
        <s v="FY68558085851"/>
        <s v="FG96514509063"/>
        <s v="QT49896250665"/>
        <s v="QG06566802005"/>
        <s v="CG42542751973"/>
        <s v="CZ38659055717"/>
        <s v="CL08278169562"/>
        <s v="QV42217208914"/>
        <s v="WA06563048931"/>
        <s v="WU04189699710"/>
        <s v="ER94249184844"/>
        <s v="NP67854592043"/>
        <s v="DN35119440005"/>
        <s v="RB08463682512"/>
      </sharedItems>
    </cacheField>
    <cacheField name="Personal_Data_Access" numFmtId="0">
      <sharedItems>
        <b v="1"/>
        <b v="0"/>
      </sharedItems>
    </cacheField>
    <cacheField name="DPA_Status" numFmtId="0">
      <sharedItems containsBlank="1">
        <s v="Missing"/>
        <s v="Signed"/>
        <s v="Pending"/>
        <m/>
        <s v="Signed "/>
      </sharedItems>
    </cacheField>
    <cacheField name="Storage_Region" numFmtId="0">
      <sharedItems>
        <s v="US"/>
        <s v="APAC"/>
        <s v="EU"/>
      </sharedItems>
    </cacheField>
    <cacheField name="Ethics_Charter" numFmtId="0">
      <sharedItems>
        <b v="1"/>
        <b v="0"/>
      </sharedItems>
    </cacheField>
    <cacheField name="Last_Update">
      <sharedItems containsDate="1" containsMixedTypes="1">
        <d v="2024-02-01T00:00:00Z"/>
        <d v="2024-05-05T00:00:00Z"/>
        <s v="2/21/2025"/>
        <d v="2024-02-03T00:00:00Z"/>
        <s v="5/24/2023"/>
        <s v="4/16/2023"/>
        <s v="1/31/2024"/>
        <d v="2024-01-02T00:00:00Z"/>
        <s v="2/16/2025"/>
        <s v="12/31/2024"/>
        <s v="6/25/2024"/>
        <d v="2023-04-07T00:00:00Z"/>
        <d v="2023-08-11T00:00:00Z"/>
        <d v="2025-08-09T00:00:00Z"/>
        <d v="2023-11-05T00:00:00Z"/>
        <d v="2023-05-09T00:00:00Z"/>
        <s v="5/15/2025"/>
        <s v="6/30/2023"/>
        <s v="9/25/2024"/>
        <d v="2023-01-10T00:00:00Z"/>
        <d v="2024-01-11T00:00:00Z"/>
        <s v="9/13/2024"/>
        <s v="11/20/2023"/>
        <s v="6/17/2025"/>
        <s v="5/25/2025"/>
        <d v="2025-01-08T00:00:00Z"/>
        <s v="6/21/2023"/>
        <s v="3/16/2024"/>
        <s v="7/16/2024"/>
        <s v="3/28/2025"/>
        <d v="2025-04-09T00:00:00Z"/>
        <s v="10/18/2024"/>
        <s v="6/13/2025"/>
        <d v="2025-11-03T00:00:00Z"/>
        <d v="2023-07-06T00:00:00Z"/>
        <d v="2024-01-10T00:00:00Z"/>
        <d v="2024-10-03T00:00:00Z"/>
        <d v="2024-11-07T00:00:00Z"/>
        <d v="2025-02-05T00:00:00Z"/>
        <s v="9/23/2023"/>
        <s v="12/20/2024"/>
        <s v="3/25/2023"/>
        <d v="2024-11-02T00:00:00Z"/>
        <d v="2025-07-01T00:00:00Z"/>
        <s v="10/22/2024"/>
        <s v="12/16/2023"/>
        <d v="2024-05-01T00:00:00Z"/>
        <s v="7/29/2025"/>
        <d v="2023-07-12T00:00:00Z"/>
        <d v="2023-04-05T00:00:00Z"/>
        <d v="2023-06-07T00:00:00Z"/>
        <d v="2024-01-04T00:00:00Z"/>
        <s v="5/21/2025"/>
        <s v="6/27/2023"/>
        <s v="11/23/2023"/>
        <s v="9/20/2023"/>
        <s v="5/28/2023"/>
        <s v="5/15/2024"/>
        <s v="9/29/2025"/>
        <d v="2024-02-02T00:00:00Z"/>
        <s v="3/16/2025"/>
        <d v="2023-09-07T00:00:00Z"/>
        <s v="7/21/2025"/>
        <d v="2023-07-02T00:00:00Z"/>
        <s v="11/14/2023"/>
        <d v="2023-10-04T00:00:00Z"/>
        <d v="2025-03-09T00:00:00Z"/>
        <d v="2024-03-04T00:00:00Z"/>
        <s v="3/18/2023"/>
        <s v="2/19/2025"/>
        <s v="11/13/2024"/>
        <s v="9/17/2025"/>
        <s v="10/31/2023"/>
        <s v="7/19/2024"/>
        <s v="3/19/2024"/>
        <d v="2023-10-05T00:00:00Z"/>
        <s v="11/21/2024"/>
        <s v="10/30/2024"/>
        <s v="4/23/2023"/>
        <s v="8/24/2025"/>
        <s v="1/19/2024"/>
        <s v="4/16/2024"/>
        <s v="11/20/2024"/>
        <s v="3/27/2024"/>
        <s v="5/18/2025"/>
        <s v="10/15/2025"/>
        <s v="6/16/2025"/>
        <d v="2023-05-05T00:00:00Z"/>
        <s v="6/15/2025"/>
        <d v="2023-12-05T00:00:00Z"/>
        <s v="3/19/2023"/>
        <s v="7/16/2025"/>
        <s v="8/16/2023"/>
        <s v="12/25/2023"/>
        <d v="2025-08-07T00:00:00Z"/>
        <d v="2023-11-02T00:00:00Z"/>
        <d v="2025-11-05T00:00:00Z"/>
        <d v="2023-08-07T00:00:00Z"/>
        <s v="7/27/2023"/>
        <d v="2025-11-08T00:00:00Z"/>
        <d v="2024-07-09T00:00:00Z"/>
        <s v="2/23/2025"/>
        <s v="4/25/2025"/>
        <s v="5/16/2025"/>
        <d v="2023-11-12T00:00:00Z"/>
        <d v="2025-09-01T00:00:00Z"/>
        <d v="2023-05-04T00:00:00Z"/>
        <d v="2024-01-12T00:00:00Z"/>
        <s v="9/19/2023"/>
        <d v="2023-05-03T00:00:00Z"/>
        <s v="4/21/2024"/>
        <s v="12/18/2024"/>
        <d v="2023-07-09T00:00:00Z"/>
        <s v="1/18/2025"/>
        <d v="2023-01-05T00:00:00Z"/>
        <s v="12/17/2024"/>
        <s v="10/23/2024"/>
        <d v="2024-01-03T00:00:00Z"/>
        <s v="1/27/2025"/>
        <d v="2023-01-11T00:00:00Z"/>
        <s v="6/24/2025"/>
        <s v="8/25/2023"/>
        <s v="4/27/2025"/>
        <s v="10/28/2023"/>
        <s v="1/19/2025"/>
        <s v="2/14/2025"/>
        <s v="8/27/2025"/>
        <d v="2023-12-09T00:00:00Z"/>
        <d v="2024-08-10T00:00:00Z"/>
        <d v="2025-08-01T00:00:00Z"/>
        <s v="8/25/2024"/>
        <s v="11/28/2023"/>
        <s v="4/24/2024"/>
        <s v="6/19/2023"/>
        <s v="11/27/2023"/>
        <d v="2024-09-07T00:00:00Z"/>
        <s v="2/23/2024"/>
        <s v="2/15/2025"/>
        <d v="2024-11-04T00:00:00Z"/>
        <s v="4/28/2024"/>
        <s v="3/15/2025"/>
        <d v="2024-12-04T00:00:00Z"/>
        <d v="2025-10-05T00:00:00Z"/>
        <s v="9/30/2025"/>
        <s v="9/15/2023"/>
        <s v="5/23/2023"/>
        <d v="2023-08-09T00:00:00Z"/>
        <d v="2024-04-03T00:00:00Z"/>
        <d v="2024-03-10T00:00:00Z"/>
        <d v="2023-06-03T00:00:00Z"/>
        <s v="5/27/2025"/>
        <s v="2/13/2025"/>
        <d v="2023-03-05T00:00:00Z"/>
        <d v="2023-12-11T00:00:00Z"/>
        <s v="7/15/2024"/>
        <d v="2023-02-02T00:00:00Z"/>
        <d v="2025-04-03T00:00:00Z"/>
        <s v="9/18/2023"/>
        <s v="8/26/2024"/>
        <d v="2023-08-02T00:00:00Z"/>
        <s v="11/24/2024"/>
        <d v="2025-05-03T00:00:00Z"/>
        <s v="2/14/2024"/>
        <s v="10/27/2023"/>
        <s v="4/20/2025"/>
        <s v="6/19/2025"/>
        <s v="3/24/2025"/>
        <s v="10/19/2025"/>
        <d v="2025-08-08T00:00:00Z"/>
        <s v="3/14/2023"/>
        <s v="7/28/2023"/>
        <s v="3/29/2025"/>
        <d v="2023-05-02T00:00:00Z"/>
        <d v="2023-07-05T00:00:00Z"/>
        <s v="10/26/2023"/>
        <s v="3/21/2023"/>
        <d v="2024-08-01T00:00:00Z"/>
        <s v="2/20/2025"/>
        <d v="2024-12-07T00:00:00Z"/>
        <s v="9/15/2024"/>
        <s v="12/23/2024"/>
        <s v="8/18/2023"/>
        <s v="11/27/2024"/>
        <d v="2025-11-06T00:00:00Z"/>
        <s v="10/30/2025"/>
        <d v="2025-04-05T00:00:00Z"/>
        <s v="6/23/2025"/>
        <d v="2023-02-11T00:00:00Z"/>
        <s v="1/17/2024"/>
        <d v="2025-04-02T00:00:00Z"/>
        <s v="1/20/2024"/>
        <s v="9/23/2024"/>
        <d v="2023-09-03T00:00:00Z"/>
        <d v="2024-07-07T00:00:00Z"/>
        <d v="2024-02-04T00:00:00Z"/>
        <s v="1/27/2024"/>
        <d v="2024-10-10T00:00:00Z"/>
        <s v="4/19/2025"/>
        <s v="9/16/2023"/>
        <s v="1/30/2025"/>
        <s v="7/23/2023"/>
        <s v="12/28/2024"/>
        <d v="2023-03-03T00:00:00Z"/>
        <d v="2024-10-12T00:00:00Z"/>
        <d v="2024-04-05T00:00:00Z"/>
        <s v="3/18/2025"/>
        <d v="2025-06-09T00:00:00Z"/>
        <d v="2023-09-10T00:00:00Z"/>
        <s v="5/23/2024"/>
        <d v="2025-02-08T00:00:00Z"/>
        <d v="2025-11-02T00:00:00Z"/>
        <d v="2023-10-03T00:00:00Z"/>
        <s v="11/16/2024"/>
        <s v="7/22/2025"/>
        <d v="2024-11-06T00:00:00Z"/>
        <d v="2024-03-07T00:00:00Z"/>
        <s v="1/28/2025"/>
        <d v="2023-10-07T00:00:00Z"/>
        <d v="2023-02-05T00:00:00Z"/>
        <d v="2024-11-09T00:00:00Z"/>
        <s v="6/21/2025"/>
        <s v="2/15/2024"/>
        <s v="5/22/2025"/>
        <s v="7/28/2025"/>
        <s v="12/14/2024"/>
        <s v="6/20/2024"/>
        <s v="7/23/2025"/>
        <s v="3/31/2024"/>
        <s v="1/29/2025"/>
        <s v="5/24/2025"/>
        <s v="1/18/2024"/>
        <d v="2024-01-09T00:00:00Z"/>
        <s v="8/13/2024"/>
        <d v="2025-10-07T00:00:00Z"/>
        <d v="2025-02-10T00:00:00Z"/>
        <s v="8/23/2025"/>
        <s v="2/13/2023"/>
        <d v="2023-06-04T00:00:00Z"/>
        <s v="12/27/2023"/>
        <d v="2023-09-02T00:00:00Z"/>
        <d v="2023-09-04T00:00:00Z"/>
        <d v="2024-03-03T00:00:00Z"/>
        <s v="8/13/2025"/>
        <d v="2025-07-04T00:00:00Z"/>
        <d v="2025-10-01T00:00:00Z"/>
        <s v="10/31/2025"/>
        <s v="8/31/2023"/>
        <d v="2024-11-08T00:00:00Z"/>
        <s v="5/30/2024"/>
        <s v="9/13/2025"/>
        <s v="5/19/2023"/>
        <s v="10/14/2025"/>
        <d v="2024-07-08T00:00:00Z"/>
        <s v="5/26/2023"/>
        <s v="4/16/2025"/>
        <s v="7/26/2025"/>
        <s v="4/27/2023"/>
        <s v="5/17/2024"/>
        <d v="2023-04-11T00:00:00Z"/>
        <s v="9/15/2025"/>
        <d v="2025-10-09T00:00:00Z"/>
        <d v="2025-05-08T00:00:00Z"/>
        <d v="2025-02-04T00:00:00Z"/>
        <d v="2023-08-04T00:00:00Z"/>
        <d v="2025-04-06T00:00:00Z"/>
        <s v="4/24/2023"/>
        <s v="12/19/2023"/>
        <d v="2023-09-06T00:00:00Z"/>
        <d v="2023-08-06T00:00:00Z"/>
        <d v="2025-07-03T00:00:00Z"/>
        <s v="8/23/2023"/>
        <s v="3/30/2023"/>
        <d v="2024-03-02T00:00:00Z"/>
        <d v="2024-07-04T00:00:00Z"/>
        <s v="8/20/2023"/>
        <d v="2025-06-07T00:00:00Z"/>
        <s v="2/13/2024"/>
        <s v="4/13/2023"/>
        <s v="6/26/2024"/>
        <s v="10/28/2024"/>
        <s v="7/24/2023"/>
        <d v="2025-05-05T00:00:00Z"/>
        <d v="2024-03-08T00:00:00Z"/>
        <s v="6/28/2025"/>
        <d v="2024-09-05T00:00:00Z"/>
        <s v="9/25/2025"/>
        <s v="10/18/2025"/>
        <d v="2024-06-09T00:00:00Z"/>
        <d v="2023-07-10T00:00:00Z"/>
        <d v="2024-06-06T00:00:00Z"/>
        <d v="2025-02-03T00:00:00Z"/>
        <s v="8/21/2023"/>
        <s v="5/27/2024"/>
        <s v="12/29/2023"/>
        <s v="5/14/2023"/>
        <s v="2/24/2024"/>
        <d v="2024-09-06T00:00:00Z"/>
        <s v="6/13/2024"/>
        <s v="2/27/2023"/>
        <s v="8/19/2024"/>
        <s v="2/16/2024"/>
        <d v="2024-09-10T00:00:00Z"/>
        <d v="2024-09-12T00:00:00Z"/>
        <s v="10/26/2025"/>
        <d v="2025-07-10T00:00:00Z"/>
        <s v="10/20/2024"/>
        <s v="2/26/2025"/>
        <d v="2024-02-12T00:00:00Z"/>
        <s v="3/13/2025"/>
        <s v="9/16/2024"/>
        <s v="6/30/2025"/>
        <s v="3/25/2024"/>
        <d v="2025-05-04T00:00:00Z"/>
        <d v="2024-06-11T00:00:00Z"/>
        <s v="6/22/2023"/>
        <s v="11/18/2023"/>
        <s v="9/23/2025"/>
        <d v="2024-06-05T00:00:00Z"/>
        <d v="2025-12-01T00:00:00Z"/>
        <d v="2023-03-11T00:00:00Z"/>
        <d v="2023-03-04T00:00:00Z"/>
        <s v="3/17/2024"/>
        <s v="7/21/2024"/>
        <s v="10/30/2023"/>
        <s v="1/24/2025"/>
        <d v="2024-10-04T00:00:00Z"/>
        <s v="8/15/2025"/>
        <s v="1/23/2024"/>
        <d v="2025-08-06T00:00:00Z"/>
        <s v="2/24/2025"/>
        <d v="2025-01-04T00:00:00Z"/>
        <s v="4/30/2025"/>
        <s v="12/26/2024"/>
        <s v="5/26/2025"/>
        <s v="8/17/2024"/>
        <s v="5/15/2023"/>
        <s v="7/25/2024"/>
        <s v="12/24/2024"/>
        <s v="2/18/2024"/>
        <d v="2023-06-05T00:00:00Z"/>
        <s v="4/17/2023"/>
        <d v="2025-01-10T00:00:00Z"/>
        <d v="2025-06-08T00:00:00Z"/>
        <d v="2023-07-08T00:00:00Z"/>
        <d v="2023-07-11T00:00:00Z"/>
        <s v="7/31/2025"/>
        <d v="2025-07-09T00:00:00Z"/>
        <s v="10/25/2023"/>
        <d v="2025-12-03T00:00:00Z"/>
        <d v="2025-01-05T00:00:00Z"/>
        <s v="2/21/2024"/>
        <s v="10/28/2025"/>
        <d v="2023-02-12T00:00:00Z"/>
        <d v="2025-03-02T00:00:00Z"/>
        <d v="2023-04-08T00:00:00Z"/>
        <s v="7/27/2024"/>
        <s v="7/24/2025"/>
        <s v="4/30/2023"/>
        <d v="2024-06-12T00:00:00Z"/>
        <s v="9/29/2024"/>
        <s v="4/24/2025"/>
        <s v="11/23/2024"/>
        <d v="2023-04-03T00:00:00Z"/>
        <s v="1/26/2024"/>
        <d v="2024-06-08T00:00:00Z"/>
        <s v="7/30/2024"/>
        <d v="2023-06-09T00:00:00Z"/>
        <s v="2/19/2023"/>
        <s v="3/26/2023"/>
        <d v="2024-12-12T00:00:00Z"/>
        <s v="12/15/2023"/>
        <s v="8/29/2024"/>
        <s v="9/13/2023"/>
        <s v="10/22/2025"/>
        <d v="2023-06-11T00:00:00Z"/>
        <s v="9/30/2023"/>
        <d v="2023-10-12T00:00:00Z"/>
        <s v="10/17/2024"/>
        <s v="4/17/2024"/>
        <s v="5/20/2024"/>
        <s v="5/21/2023"/>
        <s v="7/31/2024"/>
        <s v="8/28/2023"/>
        <s v="11/14/2024"/>
        <s v="3/21/2024"/>
        <d v="2024-12-09T00:00:00Z"/>
        <s v="5/29/2025"/>
        <s v="5/16/2023"/>
        <s v="2/29/2024"/>
        <d v="2025-10-08T00:00:00Z"/>
        <s v="9/22/2024"/>
        <s v="7/20/2025"/>
        <s v="3/29/2024"/>
      </sharedItems>
    </cacheField>
    <cacheField name="Account_Status" numFmtId="0">
      <sharedItems>
        <s v="Inactive"/>
        <s v="Active"/>
      </sharedItems>
    </cacheField>
    <cacheField name="Privacy audit " numFmtId="0">
      <sharedItems>
        <s v="✅ OK"/>
      </sharedItems>
    </cacheField>
    <cacheField name="Financial audit " numFmtId="0">
      <sharedItems>
        <s v="OK"/>
        <s v="🚩 FRAUD ALERT"/>
      </sharedItems>
    </cacheField>
    <cacheField name="Global status" numFmtId="0">
      <sharedItems>
        <s v="COMPLIANT"/>
        <s v="CRITIC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1" cacheId="0" dataCaption="" compact="0" compactData="0">
  <location ref="A1:B4" firstHeaderRow="0" firstDataRow="1" firstDataCol="0"/>
  <pivotFields>
    <pivotField name="Partn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artn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artner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Q_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BanQ_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VAT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ersonal_Data_Access" compact="0" outline="0" multipleItemSelectionAllowed="1" showAll="0">
      <items>
        <item x="0"/>
        <item x="1"/>
        <item t="default"/>
      </items>
    </pivotField>
    <pivotField name="DPA_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age_Region" compact="0" outline="0" multipleItemSelectionAllowed="1" showAll="0">
      <items>
        <item x="0"/>
        <item x="1"/>
        <item x="2"/>
        <item t="default"/>
      </items>
    </pivotField>
    <pivotField name="Ethics_Charter" compact="0" outline="0" multipleItemSelectionAllowed="1" showAll="0">
      <items>
        <item x="0"/>
        <item x="1"/>
        <item t="default"/>
      </items>
    </pivotField>
    <pivotField name="Last_Up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name="Account_Status" compact="0" outline="0" multipleItemSelectionAllowed="1" showAll="0">
      <items>
        <item x="0"/>
        <item x="1"/>
        <item t="default"/>
      </items>
    </pivotField>
    <pivotField name="Privacy audit " compact="0" outline="0" multipleItemSelectionAllowed="1" showAll="0">
      <items>
        <item x="0"/>
        <item t="default"/>
      </items>
    </pivotField>
    <pivotField name="Financial audit " compact="0" outline="0" multipleItemSelectionAllowed="1" showAll="0">
      <items>
        <item x="0"/>
        <item x="1"/>
        <item t="default"/>
      </items>
    </pivotField>
    <pivotField name="Global status" axis="axisRow" dataField="1" compact="0" outline="0" multipleItemSelectionAllowed="1" showAll="0" sortType="ascending">
      <items>
        <item x="0"/>
        <item x="1"/>
        <item t="default"/>
      </items>
    </pivotField>
  </pivotFields>
  <rowFields>
    <field x="14"/>
  </rowFields>
  <dataFields>
    <dataField name="COUNTA of Global status" fld="1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14" max="1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17</v>
      </c>
      <c r="F2" s="1" t="s">
        <v>18</v>
      </c>
      <c r="G2" s="1" t="b">
        <v>1</v>
      </c>
      <c r="H2" s="1" t="s">
        <v>19</v>
      </c>
      <c r="I2" s="1" t="s">
        <v>17</v>
      </c>
      <c r="J2" s="1" t="b">
        <v>1</v>
      </c>
      <c r="K2" s="2">
        <v>45323.0</v>
      </c>
      <c r="L2" s="1" t="s">
        <v>20</v>
      </c>
      <c r="M2" s="3" t="str">
        <f t="shared" ref="M2:M501" si="1">IF(AND(G2=TRUE, I2="Missing"), "❌ GDPR RISK", "✅ OK")</f>
        <v>✅ OK</v>
      </c>
      <c r="N2" s="3" t="str">
        <f t="shared" ref="N2:N501" si="2">IF(D2=E2, "OK", "🚩 FRAUD ALERT")</f>
        <v>OK</v>
      </c>
      <c r="O2" s="3" t="str">
        <f t="shared" ref="O2:O501" si="3">IF(OR(M2="❌ GDPR RISK", N2="🚩 FRAUD ALERT"), "CRITICAL", "COMPLIANT")</f>
        <v>COMPLIANT</v>
      </c>
    </row>
    <row r="3">
      <c r="A3" s="1">
        <v>2.0</v>
      </c>
      <c r="B3" s="1" t="s">
        <v>21</v>
      </c>
      <c r="C3" s="1" t="s">
        <v>16</v>
      </c>
      <c r="D3" s="1" t="s">
        <v>22</v>
      </c>
      <c r="E3" s="1" t="s">
        <v>22</v>
      </c>
      <c r="F3" s="1" t="s">
        <v>23</v>
      </c>
      <c r="G3" s="1" t="b">
        <v>0</v>
      </c>
      <c r="H3" s="1" t="s">
        <v>19</v>
      </c>
      <c r="I3" s="1" t="s">
        <v>24</v>
      </c>
      <c r="J3" s="1" t="b">
        <v>1</v>
      </c>
      <c r="K3" s="2">
        <v>45417.0</v>
      </c>
      <c r="L3" s="1" t="s">
        <v>20</v>
      </c>
      <c r="M3" s="3" t="str">
        <f t="shared" si="1"/>
        <v>✅ OK</v>
      </c>
      <c r="N3" s="3" t="str">
        <f t="shared" si="2"/>
        <v>OK</v>
      </c>
      <c r="O3" s="3" t="str">
        <f t="shared" si="3"/>
        <v>COMPLIANT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E4" s="1" t="s">
        <v>27</v>
      </c>
      <c r="F4" s="1" t="s">
        <v>28</v>
      </c>
      <c r="G4" s="1" t="b">
        <v>0</v>
      </c>
      <c r="H4" s="1" t="s">
        <v>29</v>
      </c>
      <c r="I4" s="1" t="s">
        <v>17</v>
      </c>
      <c r="J4" s="1" t="b">
        <v>0</v>
      </c>
      <c r="K4" s="1" t="s">
        <v>30</v>
      </c>
      <c r="L4" s="1" t="s">
        <v>31</v>
      </c>
      <c r="M4" s="3" t="str">
        <f t="shared" si="1"/>
        <v>✅ OK</v>
      </c>
      <c r="N4" s="3" t="str">
        <f t="shared" si="2"/>
        <v>OK</v>
      </c>
      <c r="O4" s="3" t="str">
        <f t="shared" si="3"/>
        <v>COMPLIANT</v>
      </c>
    </row>
    <row r="5">
      <c r="A5" s="1">
        <v>4.0</v>
      </c>
      <c r="B5" s="1" t="s">
        <v>32</v>
      </c>
      <c r="C5" s="1" t="s">
        <v>26</v>
      </c>
      <c r="D5" s="1" t="s">
        <v>33</v>
      </c>
      <c r="E5" s="1" t="s">
        <v>33</v>
      </c>
      <c r="F5" s="1" t="s">
        <v>34</v>
      </c>
      <c r="G5" s="1" t="b">
        <v>0</v>
      </c>
      <c r="H5" s="1" t="s">
        <v>29</v>
      </c>
      <c r="I5" s="1" t="s">
        <v>35</v>
      </c>
      <c r="J5" s="1" t="b">
        <v>1</v>
      </c>
      <c r="K5" s="2">
        <v>45325.0</v>
      </c>
      <c r="L5" s="1" t="s">
        <v>31</v>
      </c>
      <c r="M5" s="3" t="str">
        <f t="shared" si="1"/>
        <v>✅ OK</v>
      </c>
      <c r="N5" s="3" t="str">
        <f t="shared" si="2"/>
        <v>OK</v>
      </c>
      <c r="O5" s="3" t="str">
        <f t="shared" si="3"/>
        <v>COMPLIANT</v>
      </c>
    </row>
    <row r="6">
      <c r="A6" s="1">
        <v>5.0</v>
      </c>
      <c r="B6" s="1" t="s">
        <v>36</v>
      </c>
      <c r="C6" s="1" t="s">
        <v>26</v>
      </c>
      <c r="D6" s="1" t="s">
        <v>37</v>
      </c>
      <c r="E6" s="1" t="s">
        <v>37</v>
      </c>
      <c r="F6" s="1" t="s">
        <v>38</v>
      </c>
      <c r="G6" s="1" t="b">
        <v>0</v>
      </c>
      <c r="H6" s="1" t="s">
        <v>19</v>
      </c>
      <c r="I6" s="1" t="s">
        <v>24</v>
      </c>
      <c r="J6" s="1" t="b">
        <v>0</v>
      </c>
      <c r="K6" s="1" t="s">
        <v>39</v>
      </c>
      <c r="L6" s="1" t="s">
        <v>31</v>
      </c>
      <c r="M6" s="3" t="str">
        <f t="shared" si="1"/>
        <v>✅ OK</v>
      </c>
      <c r="N6" s="3" t="str">
        <f t="shared" si="2"/>
        <v>OK</v>
      </c>
      <c r="O6" s="3" t="str">
        <f t="shared" si="3"/>
        <v>COMPLIANT</v>
      </c>
    </row>
    <row r="7">
      <c r="A7" s="1">
        <v>6.0</v>
      </c>
      <c r="B7" s="1" t="s">
        <v>40</v>
      </c>
      <c r="C7" s="1" t="s">
        <v>41</v>
      </c>
      <c r="D7" s="1" t="s">
        <v>42</v>
      </c>
      <c r="E7" s="1" t="s">
        <v>42</v>
      </c>
      <c r="F7" s="1" t="s">
        <v>43</v>
      </c>
      <c r="G7" s="1" t="b">
        <v>1</v>
      </c>
      <c r="H7" s="1" t="s">
        <v>44</v>
      </c>
      <c r="I7" s="1" t="s">
        <v>17</v>
      </c>
      <c r="J7" s="1" t="b">
        <v>1</v>
      </c>
      <c r="K7" s="1" t="s">
        <v>45</v>
      </c>
      <c r="L7" s="1" t="s">
        <v>20</v>
      </c>
      <c r="M7" s="3" t="str">
        <f t="shared" si="1"/>
        <v>✅ OK</v>
      </c>
      <c r="N7" s="3" t="str">
        <f t="shared" si="2"/>
        <v>OK</v>
      </c>
      <c r="O7" s="3" t="str">
        <f t="shared" si="3"/>
        <v>COMPLIANT</v>
      </c>
    </row>
    <row r="8">
      <c r="A8" s="1">
        <v>7.0</v>
      </c>
      <c r="B8" s="1" t="s">
        <v>46</v>
      </c>
      <c r="C8" s="1" t="s">
        <v>47</v>
      </c>
      <c r="D8" s="1" t="s">
        <v>42</v>
      </c>
      <c r="E8" s="1" t="s">
        <v>42</v>
      </c>
      <c r="F8" s="1" t="s">
        <v>48</v>
      </c>
      <c r="G8" s="1" t="b">
        <v>1</v>
      </c>
      <c r="H8" s="1" t="s">
        <v>44</v>
      </c>
      <c r="I8" s="1" t="s">
        <v>35</v>
      </c>
      <c r="J8" s="1" t="b">
        <v>1</v>
      </c>
      <c r="K8" s="1" t="s">
        <v>49</v>
      </c>
      <c r="L8" s="1" t="s">
        <v>20</v>
      </c>
      <c r="M8" s="3" t="str">
        <f t="shared" si="1"/>
        <v>✅ OK</v>
      </c>
      <c r="N8" s="3" t="str">
        <f t="shared" si="2"/>
        <v>OK</v>
      </c>
      <c r="O8" s="3" t="str">
        <f t="shared" si="3"/>
        <v>COMPLIANT</v>
      </c>
    </row>
    <row r="9">
      <c r="A9" s="1">
        <v>8.0</v>
      </c>
      <c r="B9" s="1" t="s">
        <v>50</v>
      </c>
      <c r="C9" s="1" t="s">
        <v>26</v>
      </c>
      <c r="D9" s="1" t="s">
        <v>51</v>
      </c>
      <c r="E9" s="1" t="s">
        <v>51</v>
      </c>
      <c r="F9" s="1" t="s">
        <v>52</v>
      </c>
      <c r="G9" s="1" t="b">
        <v>0</v>
      </c>
      <c r="H9" s="1" t="s">
        <v>44</v>
      </c>
      <c r="I9" s="1" t="s">
        <v>35</v>
      </c>
      <c r="J9" s="1" t="b">
        <v>1</v>
      </c>
      <c r="K9" s="2">
        <v>45293.0</v>
      </c>
      <c r="L9" s="1" t="s">
        <v>31</v>
      </c>
      <c r="M9" s="3" t="str">
        <f t="shared" si="1"/>
        <v>✅ OK</v>
      </c>
      <c r="N9" s="3" t="str">
        <f t="shared" si="2"/>
        <v>OK</v>
      </c>
      <c r="O9" s="3" t="str">
        <f t="shared" si="3"/>
        <v>COMPLIANT</v>
      </c>
    </row>
    <row r="10">
      <c r="A10" s="1">
        <v>9.0</v>
      </c>
      <c r="B10" s="1" t="s">
        <v>53</v>
      </c>
      <c r="C10" s="1" t="s">
        <v>41</v>
      </c>
      <c r="D10" s="1" t="s">
        <v>54</v>
      </c>
      <c r="E10" s="1" t="s">
        <v>54</v>
      </c>
      <c r="F10" s="1" t="s">
        <v>55</v>
      </c>
      <c r="G10" s="1" t="b">
        <v>1</v>
      </c>
      <c r="H10" s="1" t="s">
        <v>29</v>
      </c>
      <c r="I10" s="1" t="s">
        <v>17</v>
      </c>
      <c r="J10" s="1" t="b">
        <v>1</v>
      </c>
      <c r="K10" s="1" t="s">
        <v>56</v>
      </c>
      <c r="L10" s="1" t="s">
        <v>20</v>
      </c>
      <c r="M10" s="3" t="str">
        <f t="shared" si="1"/>
        <v>✅ OK</v>
      </c>
      <c r="N10" s="3" t="str">
        <f t="shared" si="2"/>
        <v>OK</v>
      </c>
      <c r="O10" s="3" t="str">
        <f t="shared" si="3"/>
        <v>COMPLIANT</v>
      </c>
    </row>
    <row r="11">
      <c r="A11" s="1">
        <v>10.0</v>
      </c>
      <c r="B11" s="1" t="s">
        <v>15</v>
      </c>
      <c r="C11" s="1" t="s">
        <v>57</v>
      </c>
      <c r="D11" s="1" t="s">
        <v>58</v>
      </c>
      <c r="E11" s="1" t="s">
        <v>58</v>
      </c>
      <c r="F11" s="1" t="s">
        <v>59</v>
      </c>
      <c r="G11" s="1" t="b">
        <v>1</v>
      </c>
      <c r="H11" s="1" t="s">
        <v>44</v>
      </c>
      <c r="I11" s="1" t="s">
        <v>35</v>
      </c>
      <c r="J11" s="1" t="b">
        <v>0</v>
      </c>
      <c r="K11" s="1" t="s">
        <v>60</v>
      </c>
      <c r="L11" s="1" t="s">
        <v>20</v>
      </c>
      <c r="M11" s="3" t="str">
        <f t="shared" si="1"/>
        <v>✅ OK</v>
      </c>
      <c r="N11" s="3" t="str">
        <f t="shared" si="2"/>
        <v>OK</v>
      </c>
      <c r="O11" s="3" t="str">
        <f t="shared" si="3"/>
        <v>COMPLIANT</v>
      </c>
    </row>
    <row r="12">
      <c r="A12" s="1">
        <v>11.0</v>
      </c>
      <c r="B12" s="1" t="s">
        <v>61</v>
      </c>
      <c r="C12" s="1" t="s">
        <v>57</v>
      </c>
      <c r="D12" s="1" t="s">
        <v>62</v>
      </c>
      <c r="E12" s="1" t="s">
        <v>62</v>
      </c>
      <c r="F12" s="1" t="s">
        <v>63</v>
      </c>
      <c r="G12" s="1" t="b">
        <v>0</v>
      </c>
      <c r="I12" s="1" t="s">
        <v>17</v>
      </c>
      <c r="J12" s="1" t="b">
        <v>0</v>
      </c>
      <c r="K12" s="1" t="s">
        <v>64</v>
      </c>
      <c r="L12" s="1" t="s">
        <v>20</v>
      </c>
      <c r="M12" s="3" t="str">
        <f t="shared" si="1"/>
        <v>✅ OK</v>
      </c>
      <c r="N12" s="3" t="str">
        <f t="shared" si="2"/>
        <v>OK</v>
      </c>
      <c r="O12" s="3" t="str">
        <f t="shared" si="3"/>
        <v>COMPLIANT</v>
      </c>
    </row>
    <row r="13">
      <c r="A13" s="1">
        <v>12.0</v>
      </c>
      <c r="B13" s="1" t="s">
        <v>65</v>
      </c>
      <c r="C13" s="1" t="s">
        <v>57</v>
      </c>
      <c r="D13" s="1" t="s">
        <v>66</v>
      </c>
      <c r="E13" s="1" t="s">
        <v>66</v>
      </c>
      <c r="F13" s="1" t="s">
        <v>67</v>
      </c>
      <c r="G13" s="1" t="b">
        <v>0</v>
      </c>
      <c r="H13" s="1" t="s">
        <v>29</v>
      </c>
      <c r="I13" s="1" t="s">
        <v>35</v>
      </c>
      <c r="J13" s="1" t="b">
        <v>0</v>
      </c>
      <c r="K13" s="2">
        <v>45023.0</v>
      </c>
      <c r="L13" s="1" t="s">
        <v>31</v>
      </c>
      <c r="M13" s="3" t="str">
        <f t="shared" si="1"/>
        <v>✅ OK</v>
      </c>
      <c r="N13" s="3" t="str">
        <f t="shared" si="2"/>
        <v>OK</v>
      </c>
      <c r="O13" s="3" t="str">
        <f t="shared" si="3"/>
        <v>COMPLIANT</v>
      </c>
    </row>
    <row r="14">
      <c r="A14" s="1">
        <v>13.0</v>
      </c>
      <c r="B14" s="1" t="s">
        <v>68</v>
      </c>
      <c r="C14" s="1" t="s">
        <v>41</v>
      </c>
      <c r="D14" s="1" t="s">
        <v>69</v>
      </c>
      <c r="E14" s="1" t="s">
        <v>69</v>
      </c>
      <c r="F14" s="1" t="s">
        <v>70</v>
      </c>
      <c r="G14" s="1" t="b">
        <v>0</v>
      </c>
      <c r="H14" s="1" t="s">
        <v>29</v>
      </c>
      <c r="I14" s="1" t="s">
        <v>24</v>
      </c>
      <c r="J14" s="1" t="b">
        <v>1</v>
      </c>
      <c r="K14" s="2">
        <v>45149.0</v>
      </c>
      <c r="L14" s="1" t="s">
        <v>20</v>
      </c>
      <c r="M14" s="3" t="str">
        <f t="shared" si="1"/>
        <v>✅ OK</v>
      </c>
      <c r="N14" s="3" t="str">
        <f t="shared" si="2"/>
        <v>OK</v>
      </c>
      <c r="O14" s="3" t="str">
        <f t="shared" si="3"/>
        <v>COMPLIANT</v>
      </c>
    </row>
    <row r="15">
      <c r="A15" s="1">
        <v>14.0</v>
      </c>
      <c r="B15" s="1" t="s">
        <v>71</v>
      </c>
      <c r="C15" s="1" t="s">
        <v>16</v>
      </c>
      <c r="D15" s="1" t="s">
        <v>69</v>
      </c>
      <c r="E15" s="1" t="s">
        <v>69</v>
      </c>
      <c r="F15" s="1" t="s">
        <v>72</v>
      </c>
      <c r="G15" s="1" t="b">
        <v>1</v>
      </c>
      <c r="H15" s="1" t="s">
        <v>19</v>
      </c>
      <c r="I15" s="1" t="s">
        <v>24</v>
      </c>
      <c r="J15" s="1" t="b">
        <v>0</v>
      </c>
      <c r="K15" s="2">
        <v>45878.0</v>
      </c>
      <c r="L15" s="1" t="s">
        <v>20</v>
      </c>
      <c r="M15" s="3" t="str">
        <f t="shared" si="1"/>
        <v>✅ OK</v>
      </c>
      <c r="N15" s="3" t="str">
        <f t="shared" si="2"/>
        <v>OK</v>
      </c>
      <c r="O15" s="3" t="str">
        <f t="shared" si="3"/>
        <v>COMPLIANT</v>
      </c>
    </row>
    <row r="16">
      <c r="A16" s="1">
        <v>15.0</v>
      </c>
      <c r="B16" s="1" t="s">
        <v>73</v>
      </c>
      <c r="C16" s="1" t="s">
        <v>16</v>
      </c>
      <c r="D16" s="1" t="s">
        <v>74</v>
      </c>
      <c r="E16" s="1" t="s">
        <v>74</v>
      </c>
      <c r="F16" s="1" t="s">
        <v>75</v>
      </c>
      <c r="G16" s="1" t="b">
        <v>1</v>
      </c>
      <c r="I16" s="1" t="s">
        <v>35</v>
      </c>
      <c r="J16" s="1" t="b">
        <v>1</v>
      </c>
      <c r="K16" s="2">
        <v>45235.0</v>
      </c>
      <c r="L16" s="1" t="s">
        <v>31</v>
      </c>
      <c r="M16" s="3" t="str">
        <f t="shared" si="1"/>
        <v>✅ OK</v>
      </c>
      <c r="N16" s="3" t="str">
        <f t="shared" si="2"/>
        <v>OK</v>
      </c>
      <c r="O16" s="3" t="str">
        <f t="shared" si="3"/>
        <v>COMPLIANT</v>
      </c>
    </row>
    <row r="17">
      <c r="A17" s="1">
        <v>16.0</v>
      </c>
      <c r="B17" s="1" t="s">
        <v>76</v>
      </c>
      <c r="C17" s="1" t="s">
        <v>41</v>
      </c>
      <c r="D17" s="1" t="s">
        <v>42</v>
      </c>
      <c r="E17" s="1" t="s">
        <v>42</v>
      </c>
      <c r="F17" s="1" t="s">
        <v>77</v>
      </c>
      <c r="G17" s="1" t="b">
        <v>0</v>
      </c>
      <c r="H17" s="1" t="s">
        <v>19</v>
      </c>
      <c r="I17" s="1" t="s">
        <v>35</v>
      </c>
      <c r="J17" s="1" t="b">
        <v>0</v>
      </c>
      <c r="K17" s="2">
        <v>45055.0</v>
      </c>
      <c r="L17" s="1" t="s">
        <v>31</v>
      </c>
      <c r="M17" s="3" t="str">
        <f t="shared" si="1"/>
        <v>✅ OK</v>
      </c>
      <c r="N17" s="3" t="str">
        <f t="shared" si="2"/>
        <v>OK</v>
      </c>
      <c r="O17" s="3" t="str">
        <f t="shared" si="3"/>
        <v>COMPLIANT</v>
      </c>
    </row>
    <row r="18">
      <c r="A18" s="1">
        <v>17.0</v>
      </c>
      <c r="B18" s="1" t="s">
        <v>78</v>
      </c>
      <c r="C18" s="1" t="s">
        <v>41</v>
      </c>
      <c r="D18" s="1" t="s">
        <v>79</v>
      </c>
      <c r="E18" s="1" t="s">
        <v>79</v>
      </c>
      <c r="F18" s="1" t="s">
        <v>80</v>
      </c>
      <c r="G18" s="1" t="b">
        <v>1</v>
      </c>
      <c r="H18" s="1" t="s">
        <v>19</v>
      </c>
      <c r="I18" s="1" t="s">
        <v>24</v>
      </c>
      <c r="J18" s="1" t="b">
        <v>1</v>
      </c>
      <c r="K18" s="1" t="s">
        <v>81</v>
      </c>
      <c r="L18" s="1" t="s">
        <v>20</v>
      </c>
      <c r="M18" s="3" t="str">
        <f t="shared" si="1"/>
        <v>✅ OK</v>
      </c>
      <c r="N18" s="3" t="str">
        <f t="shared" si="2"/>
        <v>OK</v>
      </c>
      <c r="O18" s="3" t="str">
        <f t="shared" si="3"/>
        <v>COMPLIANT</v>
      </c>
    </row>
    <row r="19">
      <c r="A19" s="1">
        <v>18.0</v>
      </c>
      <c r="B19" s="1" t="s">
        <v>82</v>
      </c>
      <c r="C19" s="1" t="s">
        <v>16</v>
      </c>
      <c r="D19" s="1" t="s">
        <v>83</v>
      </c>
      <c r="E19" s="1" t="s">
        <v>83</v>
      </c>
      <c r="F19" s="1" t="s">
        <v>84</v>
      </c>
      <c r="G19" s="1" t="b">
        <v>1</v>
      </c>
      <c r="H19" s="1" t="s">
        <v>29</v>
      </c>
      <c r="I19" s="1" t="s">
        <v>17</v>
      </c>
      <c r="J19" s="1" t="b">
        <v>1</v>
      </c>
      <c r="K19" s="1" t="s">
        <v>85</v>
      </c>
      <c r="L19" s="1" t="s">
        <v>31</v>
      </c>
      <c r="M19" s="3" t="str">
        <f t="shared" si="1"/>
        <v>✅ OK</v>
      </c>
      <c r="N19" s="3" t="str">
        <f t="shared" si="2"/>
        <v>OK</v>
      </c>
      <c r="O19" s="3" t="str">
        <f t="shared" si="3"/>
        <v>COMPLIANT</v>
      </c>
    </row>
    <row r="20">
      <c r="A20" s="1">
        <v>19.0</v>
      </c>
      <c r="B20" s="1" t="s">
        <v>86</v>
      </c>
      <c r="C20" s="1" t="s">
        <v>41</v>
      </c>
      <c r="D20" s="1" t="s">
        <v>79</v>
      </c>
      <c r="E20" s="1" t="s">
        <v>79</v>
      </c>
      <c r="F20" s="1" t="s">
        <v>87</v>
      </c>
      <c r="G20" s="1" t="b">
        <v>0</v>
      </c>
      <c r="I20" s="1" t="s">
        <v>17</v>
      </c>
      <c r="J20" s="1" t="b">
        <v>1</v>
      </c>
      <c r="K20" s="1" t="s">
        <v>88</v>
      </c>
      <c r="L20" s="1" t="s">
        <v>31</v>
      </c>
      <c r="M20" s="3" t="str">
        <f t="shared" si="1"/>
        <v>✅ OK</v>
      </c>
      <c r="N20" s="3" t="str">
        <f t="shared" si="2"/>
        <v>OK</v>
      </c>
      <c r="O20" s="3" t="str">
        <f t="shared" si="3"/>
        <v>COMPLIANT</v>
      </c>
    </row>
    <row r="21">
      <c r="A21" s="1">
        <v>20.0</v>
      </c>
      <c r="B21" s="1" t="s">
        <v>89</v>
      </c>
      <c r="C21" s="1" t="s">
        <v>16</v>
      </c>
      <c r="D21" s="1" t="s">
        <v>79</v>
      </c>
      <c r="E21" s="1" t="s">
        <v>79</v>
      </c>
      <c r="F21" s="1" t="s">
        <v>90</v>
      </c>
      <c r="G21" s="1" t="b">
        <v>0</v>
      </c>
      <c r="H21" s="1" t="s">
        <v>44</v>
      </c>
      <c r="I21" s="1" t="s">
        <v>17</v>
      </c>
      <c r="J21" s="1" t="b">
        <v>0</v>
      </c>
      <c r="K21" s="2">
        <v>44936.0</v>
      </c>
      <c r="L21" s="1" t="s">
        <v>20</v>
      </c>
      <c r="M21" s="3" t="str">
        <f t="shared" si="1"/>
        <v>✅ OK</v>
      </c>
      <c r="N21" s="3" t="str">
        <f t="shared" si="2"/>
        <v>OK</v>
      </c>
      <c r="O21" s="3" t="str">
        <f t="shared" si="3"/>
        <v>COMPLIANT</v>
      </c>
    </row>
    <row r="22">
      <c r="A22" s="1">
        <v>21.0</v>
      </c>
      <c r="B22" s="1" t="s">
        <v>91</v>
      </c>
      <c r="C22" s="1" t="s">
        <v>47</v>
      </c>
      <c r="D22" s="1" t="s">
        <v>42</v>
      </c>
      <c r="E22" s="1" t="s">
        <v>42</v>
      </c>
      <c r="F22" s="1" t="s">
        <v>92</v>
      </c>
      <c r="G22" s="1" t="b">
        <v>1</v>
      </c>
      <c r="I22" s="1" t="s">
        <v>17</v>
      </c>
      <c r="J22" s="1" t="b">
        <v>0</v>
      </c>
      <c r="K22" s="2">
        <v>45302.0</v>
      </c>
      <c r="L22" s="1" t="s">
        <v>31</v>
      </c>
      <c r="M22" s="3" t="str">
        <f t="shared" si="1"/>
        <v>✅ OK</v>
      </c>
      <c r="N22" s="3" t="str">
        <f t="shared" si="2"/>
        <v>OK</v>
      </c>
      <c r="O22" s="3" t="str">
        <f t="shared" si="3"/>
        <v>COMPLIANT</v>
      </c>
    </row>
    <row r="23">
      <c r="A23" s="1">
        <v>22.0</v>
      </c>
      <c r="B23" s="1" t="s">
        <v>93</v>
      </c>
      <c r="C23" s="1" t="s">
        <v>16</v>
      </c>
      <c r="D23" s="1" t="s">
        <v>66</v>
      </c>
      <c r="E23" s="1" t="s">
        <v>66</v>
      </c>
      <c r="F23" s="1" t="s">
        <v>94</v>
      </c>
      <c r="G23" s="1" t="b">
        <v>1</v>
      </c>
      <c r="H23" s="1" t="s">
        <v>29</v>
      </c>
      <c r="I23" s="1" t="s">
        <v>17</v>
      </c>
      <c r="J23" s="1" t="b">
        <v>0</v>
      </c>
      <c r="K23" s="1" t="s">
        <v>95</v>
      </c>
      <c r="L23" s="1" t="s">
        <v>31</v>
      </c>
      <c r="M23" s="3" t="str">
        <f t="shared" si="1"/>
        <v>✅ OK</v>
      </c>
      <c r="N23" s="3" t="str">
        <f t="shared" si="2"/>
        <v>OK</v>
      </c>
      <c r="O23" s="3" t="str">
        <f t="shared" si="3"/>
        <v>COMPLIANT</v>
      </c>
    </row>
    <row r="24">
      <c r="A24" s="1">
        <v>23.0</v>
      </c>
      <c r="B24" s="1" t="s">
        <v>96</v>
      </c>
      <c r="C24" s="1" t="s">
        <v>26</v>
      </c>
      <c r="D24" s="1" t="s">
        <v>97</v>
      </c>
      <c r="E24" s="1" t="s">
        <v>97</v>
      </c>
      <c r="F24" s="1" t="s">
        <v>98</v>
      </c>
      <c r="G24" s="1" t="b">
        <v>0</v>
      </c>
      <c r="H24" s="1" t="s">
        <v>29</v>
      </c>
      <c r="I24" s="1" t="s">
        <v>35</v>
      </c>
      <c r="J24" s="1" t="b">
        <v>1</v>
      </c>
      <c r="K24" s="1" t="s">
        <v>99</v>
      </c>
      <c r="L24" s="1" t="s">
        <v>31</v>
      </c>
      <c r="M24" s="3" t="str">
        <f t="shared" si="1"/>
        <v>✅ OK</v>
      </c>
      <c r="N24" s="3" t="str">
        <f t="shared" si="2"/>
        <v>OK</v>
      </c>
      <c r="O24" s="3" t="str">
        <f t="shared" si="3"/>
        <v>COMPLIANT</v>
      </c>
    </row>
    <row r="25">
      <c r="A25" s="1">
        <v>24.0</v>
      </c>
      <c r="B25" s="1" t="s">
        <v>100</v>
      </c>
      <c r="C25" s="1" t="s">
        <v>57</v>
      </c>
      <c r="D25" s="1" t="s">
        <v>101</v>
      </c>
      <c r="E25" s="1" t="s">
        <v>101</v>
      </c>
      <c r="F25" s="1" t="s">
        <v>102</v>
      </c>
      <c r="G25" s="1" t="b">
        <v>1</v>
      </c>
      <c r="H25" s="1" t="s">
        <v>29</v>
      </c>
      <c r="I25" s="1" t="s">
        <v>24</v>
      </c>
      <c r="J25" s="1" t="b">
        <v>1</v>
      </c>
      <c r="K25" s="1" t="s">
        <v>103</v>
      </c>
      <c r="L25" s="1" t="s">
        <v>31</v>
      </c>
      <c r="M25" s="3" t="str">
        <f t="shared" si="1"/>
        <v>✅ OK</v>
      </c>
      <c r="N25" s="3" t="str">
        <f t="shared" si="2"/>
        <v>OK</v>
      </c>
      <c r="O25" s="3" t="str">
        <f t="shared" si="3"/>
        <v>COMPLIANT</v>
      </c>
    </row>
    <row r="26">
      <c r="A26" s="1">
        <v>25.0</v>
      </c>
      <c r="B26" s="1" t="s">
        <v>104</v>
      </c>
      <c r="C26" s="1" t="s">
        <v>41</v>
      </c>
      <c r="D26" s="1" t="s">
        <v>42</v>
      </c>
      <c r="E26" s="1" t="s">
        <v>42</v>
      </c>
      <c r="F26" s="1" t="s">
        <v>105</v>
      </c>
      <c r="G26" s="1" t="b">
        <v>1</v>
      </c>
      <c r="H26" s="1" t="s">
        <v>44</v>
      </c>
      <c r="I26" s="1" t="s">
        <v>17</v>
      </c>
      <c r="J26" s="1" t="b">
        <v>0</v>
      </c>
      <c r="K26" s="1" t="s">
        <v>106</v>
      </c>
      <c r="L26" s="1" t="s">
        <v>31</v>
      </c>
      <c r="M26" s="3" t="str">
        <f t="shared" si="1"/>
        <v>✅ OK</v>
      </c>
      <c r="N26" s="3" t="str">
        <f t="shared" si="2"/>
        <v>OK</v>
      </c>
      <c r="O26" s="3" t="str">
        <f t="shared" si="3"/>
        <v>COMPLIANT</v>
      </c>
    </row>
    <row r="27">
      <c r="A27" s="1">
        <v>26.0</v>
      </c>
      <c r="B27" s="1" t="s">
        <v>107</v>
      </c>
      <c r="C27" s="1" t="s">
        <v>16</v>
      </c>
      <c r="D27" s="1" t="s">
        <v>108</v>
      </c>
      <c r="E27" s="1" t="s">
        <v>108</v>
      </c>
      <c r="F27" s="1" t="s">
        <v>109</v>
      </c>
      <c r="G27" s="1" t="b">
        <v>0</v>
      </c>
      <c r="H27" s="1" t="s">
        <v>29</v>
      </c>
      <c r="I27" s="1" t="s">
        <v>24</v>
      </c>
      <c r="J27" s="1" t="b">
        <v>0</v>
      </c>
      <c r="K27" s="2">
        <v>45665.0</v>
      </c>
      <c r="L27" s="1" t="s">
        <v>31</v>
      </c>
      <c r="M27" s="3" t="str">
        <f t="shared" si="1"/>
        <v>✅ OK</v>
      </c>
      <c r="N27" s="3" t="str">
        <f t="shared" si="2"/>
        <v>OK</v>
      </c>
      <c r="O27" s="3" t="str">
        <f t="shared" si="3"/>
        <v>COMPLIANT</v>
      </c>
    </row>
    <row r="28">
      <c r="A28" s="1">
        <v>27.0</v>
      </c>
      <c r="B28" s="1" t="s">
        <v>110</v>
      </c>
      <c r="C28" s="1" t="s">
        <v>41</v>
      </c>
      <c r="D28" s="1" t="s">
        <v>101</v>
      </c>
      <c r="E28" s="1" t="s">
        <v>101</v>
      </c>
      <c r="F28" s="1" t="s">
        <v>111</v>
      </c>
      <c r="G28" s="1" t="b">
        <v>0</v>
      </c>
      <c r="H28" s="1" t="s">
        <v>29</v>
      </c>
      <c r="I28" s="1" t="s">
        <v>35</v>
      </c>
      <c r="J28" s="1" t="b">
        <v>0</v>
      </c>
      <c r="K28" s="1" t="s">
        <v>112</v>
      </c>
      <c r="L28" s="1" t="s">
        <v>31</v>
      </c>
      <c r="M28" s="3" t="str">
        <f t="shared" si="1"/>
        <v>✅ OK</v>
      </c>
      <c r="N28" s="3" t="str">
        <f t="shared" si="2"/>
        <v>OK</v>
      </c>
      <c r="O28" s="3" t="str">
        <f t="shared" si="3"/>
        <v>COMPLIANT</v>
      </c>
    </row>
    <row r="29">
      <c r="A29" s="1">
        <v>28.0</v>
      </c>
      <c r="B29" s="1" t="s">
        <v>113</v>
      </c>
      <c r="C29" s="1" t="s">
        <v>47</v>
      </c>
      <c r="D29" s="1" t="s">
        <v>79</v>
      </c>
      <c r="E29" s="1" t="s">
        <v>79</v>
      </c>
      <c r="F29" s="1" t="s">
        <v>114</v>
      </c>
      <c r="G29" s="1" t="b">
        <v>1</v>
      </c>
      <c r="H29" s="1" t="s">
        <v>29</v>
      </c>
      <c r="I29" s="1" t="s">
        <v>24</v>
      </c>
      <c r="J29" s="1" t="b">
        <v>1</v>
      </c>
      <c r="K29" s="1" t="s">
        <v>115</v>
      </c>
      <c r="L29" s="1" t="s">
        <v>31</v>
      </c>
      <c r="M29" s="3" t="str">
        <f t="shared" si="1"/>
        <v>✅ OK</v>
      </c>
      <c r="N29" s="3" t="str">
        <f t="shared" si="2"/>
        <v>OK</v>
      </c>
      <c r="O29" s="3" t="str">
        <f t="shared" si="3"/>
        <v>COMPLIANT</v>
      </c>
    </row>
    <row r="30">
      <c r="A30" s="1">
        <v>29.0</v>
      </c>
      <c r="B30" s="1" t="s">
        <v>116</v>
      </c>
      <c r="C30" s="1" t="s">
        <v>41</v>
      </c>
      <c r="D30" s="1" t="s">
        <v>117</v>
      </c>
      <c r="E30" s="1" t="s">
        <v>117</v>
      </c>
      <c r="F30" s="1" t="s">
        <v>118</v>
      </c>
      <c r="G30" s="1" t="b">
        <v>1</v>
      </c>
      <c r="H30" s="1" t="s">
        <v>44</v>
      </c>
      <c r="I30" s="1" t="s">
        <v>24</v>
      </c>
      <c r="J30" s="1" t="b">
        <v>0</v>
      </c>
      <c r="K30" s="1" t="s">
        <v>119</v>
      </c>
      <c r="L30" s="1" t="s">
        <v>31</v>
      </c>
      <c r="M30" s="3" t="str">
        <f t="shared" si="1"/>
        <v>✅ OK</v>
      </c>
      <c r="N30" s="3" t="str">
        <f t="shared" si="2"/>
        <v>OK</v>
      </c>
      <c r="O30" s="3" t="str">
        <f t="shared" si="3"/>
        <v>COMPLIANT</v>
      </c>
    </row>
    <row r="31">
      <c r="A31" s="1">
        <v>30.0</v>
      </c>
      <c r="B31" s="1" t="s">
        <v>120</v>
      </c>
      <c r="C31" s="1" t="s">
        <v>41</v>
      </c>
      <c r="D31" s="1" t="s">
        <v>37</v>
      </c>
      <c r="E31" s="1" t="s">
        <v>37</v>
      </c>
      <c r="F31" s="1" t="s">
        <v>121</v>
      </c>
      <c r="G31" s="1" t="b">
        <v>1</v>
      </c>
      <c r="H31" s="1" t="s">
        <v>44</v>
      </c>
      <c r="I31" s="1" t="s">
        <v>35</v>
      </c>
      <c r="J31" s="1" t="b">
        <v>1</v>
      </c>
      <c r="K31" s="1" t="s">
        <v>122</v>
      </c>
      <c r="L31" s="1" t="s">
        <v>31</v>
      </c>
      <c r="M31" s="3" t="str">
        <f t="shared" si="1"/>
        <v>✅ OK</v>
      </c>
      <c r="N31" s="3" t="str">
        <f t="shared" si="2"/>
        <v>OK</v>
      </c>
      <c r="O31" s="3" t="str">
        <f t="shared" si="3"/>
        <v>COMPLIANT</v>
      </c>
    </row>
    <row r="32">
      <c r="A32" s="1">
        <v>31.0</v>
      </c>
      <c r="B32" s="1" t="s">
        <v>123</v>
      </c>
      <c r="C32" s="1" t="s">
        <v>57</v>
      </c>
      <c r="D32" s="1" t="s">
        <v>42</v>
      </c>
      <c r="E32" s="1" t="s">
        <v>42</v>
      </c>
      <c r="F32" s="1" t="s">
        <v>124</v>
      </c>
      <c r="G32" s="1" t="b">
        <v>0</v>
      </c>
      <c r="H32" s="1" t="s">
        <v>29</v>
      </c>
      <c r="I32" s="1" t="s">
        <v>24</v>
      </c>
      <c r="J32" s="1" t="b">
        <v>0</v>
      </c>
      <c r="K32" s="2">
        <v>45756.0</v>
      </c>
      <c r="L32" s="1" t="s">
        <v>31</v>
      </c>
      <c r="M32" s="3" t="str">
        <f t="shared" si="1"/>
        <v>✅ OK</v>
      </c>
      <c r="N32" s="3" t="str">
        <f t="shared" si="2"/>
        <v>OK</v>
      </c>
      <c r="O32" s="3" t="str">
        <f t="shared" si="3"/>
        <v>COMPLIANT</v>
      </c>
    </row>
    <row r="33">
      <c r="A33" s="1">
        <v>32.0</v>
      </c>
      <c r="B33" s="1" t="s">
        <v>125</v>
      </c>
      <c r="C33" s="1" t="s">
        <v>47</v>
      </c>
      <c r="D33" s="1" t="s">
        <v>126</v>
      </c>
      <c r="E33" s="1" t="s">
        <v>126</v>
      </c>
      <c r="F33" s="1" t="s">
        <v>127</v>
      </c>
      <c r="G33" s="1" t="b">
        <v>0</v>
      </c>
      <c r="H33" s="1" t="s">
        <v>29</v>
      </c>
      <c r="I33" s="1" t="s">
        <v>35</v>
      </c>
      <c r="J33" s="1" t="b">
        <v>0</v>
      </c>
      <c r="K33" s="1" t="s">
        <v>128</v>
      </c>
      <c r="L33" s="1" t="s">
        <v>20</v>
      </c>
      <c r="M33" s="3" t="str">
        <f t="shared" si="1"/>
        <v>✅ OK</v>
      </c>
      <c r="N33" s="3" t="str">
        <f t="shared" si="2"/>
        <v>OK</v>
      </c>
      <c r="O33" s="3" t="str">
        <f t="shared" si="3"/>
        <v>COMPLIANT</v>
      </c>
    </row>
    <row r="34">
      <c r="A34" s="1">
        <v>33.0</v>
      </c>
      <c r="B34" s="1" t="s">
        <v>129</v>
      </c>
      <c r="C34" s="1" t="s">
        <v>16</v>
      </c>
      <c r="D34" s="1" t="s">
        <v>130</v>
      </c>
      <c r="E34" s="1" t="s">
        <v>130</v>
      </c>
      <c r="F34" s="1" t="s">
        <v>131</v>
      </c>
      <c r="G34" s="1" t="b">
        <v>0</v>
      </c>
      <c r="I34" s="1" t="s">
        <v>24</v>
      </c>
      <c r="J34" s="1" t="b">
        <v>0</v>
      </c>
      <c r="K34" s="1" t="s">
        <v>132</v>
      </c>
      <c r="L34" s="1" t="s">
        <v>20</v>
      </c>
      <c r="M34" s="3" t="str">
        <f t="shared" si="1"/>
        <v>✅ OK</v>
      </c>
      <c r="N34" s="3" t="str">
        <f t="shared" si="2"/>
        <v>OK</v>
      </c>
      <c r="O34" s="3" t="str">
        <f t="shared" si="3"/>
        <v>COMPLIANT</v>
      </c>
    </row>
    <row r="35">
      <c r="A35" s="1">
        <v>34.0</v>
      </c>
      <c r="B35" s="1" t="s">
        <v>133</v>
      </c>
      <c r="C35" s="1" t="s">
        <v>47</v>
      </c>
      <c r="D35" s="1" t="s">
        <v>134</v>
      </c>
      <c r="E35" s="1" t="s">
        <v>134</v>
      </c>
      <c r="F35" s="1" t="s">
        <v>135</v>
      </c>
      <c r="G35" s="1" t="b">
        <v>1</v>
      </c>
      <c r="H35" s="1" t="s">
        <v>29</v>
      </c>
      <c r="I35" s="1" t="s">
        <v>35</v>
      </c>
      <c r="J35" s="1" t="b">
        <v>1</v>
      </c>
      <c r="K35" s="2">
        <v>45964.0</v>
      </c>
      <c r="L35" s="1" t="s">
        <v>31</v>
      </c>
      <c r="M35" s="3" t="str">
        <f t="shared" si="1"/>
        <v>✅ OK</v>
      </c>
      <c r="N35" s="3" t="str">
        <f t="shared" si="2"/>
        <v>OK</v>
      </c>
      <c r="O35" s="3" t="str">
        <f t="shared" si="3"/>
        <v>COMPLIANT</v>
      </c>
    </row>
    <row r="36">
      <c r="A36" s="1">
        <v>35.0</v>
      </c>
      <c r="B36" s="1" t="s">
        <v>136</v>
      </c>
      <c r="C36" s="1" t="s">
        <v>47</v>
      </c>
      <c r="D36" s="1" t="s">
        <v>79</v>
      </c>
      <c r="E36" s="1" t="s">
        <v>79</v>
      </c>
      <c r="F36" s="1" t="s">
        <v>137</v>
      </c>
      <c r="G36" s="1" t="b">
        <v>0</v>
      </c>
      <c r="H36" s="1" t="s">
        <v>29</v>
      </c>
      <c r="I36" s="1" t="s">
        <v>17</v>
      </c>
      <c r="J36" s="1" t="b">
        <v>1</v>
      </c>
      <c r="K36" s="2">
        <v>45113.0</v>
      </c>
      <c r="L36" s="1" t="s">
        <v>31</v>
      </c>
      <c r="M36" s="3" t="str">
        <f t="shared" si="1"/>
        <v>✅ OK</v>
      </c>
      <c r="N36" s="3" t="str">
        <f t="shared" si="2"/>
        <v>OK</v>
      </c>
      <c r="O36" s="3" t="str">
        <f t="shared" si="3"/>
        <v>COMPLIANT</v>
      </c>
    </row>
    <row r="37">
      <c r="A37" s="1">
        <v>36.0</v>
      </c>
      <c r="B37" s="1" t="s">
        <v>138</v>
      </c>
      <c r="C37" s="1" t="s">
        <v>47</v>
      </c>
      <c r="D37" s="1" t="s">
        <v>79</v>
      </c>
      <c r="E37" s="1" t="s">
        <v>79</v>
      </c>
      <c r="F37" s="1" t="s">
        <v>139</v>
      </c>
      <c r="G37" s="1" t="b">
        <v>0</v>
      </c>
      <c r="H37" s="1" t="s">
        <v>29</v>
      </c>
      <c r="I37" s="1" t="s">
        <v>24</v>
      </c>
      <c r="J37" s="1" t="b">
        <v>1</v>
      </c>
      <c r="K37" s="2">
        <v>45301.0</v>
      </c>
      <c r="L37" s="1" t="s">
        <v>20</v>
      </c>
      <c r="M37" s="3" t="str">
        <f t="shared" si="1"/>
        <v>✅ OK</v>
      </c>
      <c r="N37" s="3" t="str">
        <f t="shared" si="2"/>
        <v>OK</v>
      </c>
      <c r="O37" s="3" t="str">
        <f t="shared" si="3"/>
        <v>COMPLIANT</v>
      </c>
    </row>
    <row r="38">
      <c r="A38" s="1">
        <v>37.0</v>
      </c>
      <c r="B38" s="1" t="s">
        <v>140</v>
      </c>
      <c r="C38" s="1" t="s">
        <v>41</v>
      </c>
      <c r="D38" s="1" t="s">
        <v>141</v>
      </c>
      <c r="E38" s="1" t="s">
        <v>141</v>
      </c>
      <c r="F38" s="1" t="s">
        <v>142</v>
      </c>
      <c r="G38" s="1" t="b">
        <v>0</v>
      </c>
      <c r="H38" s="1" t="s">
        <v>29</v>
      </c>
      <c r="I38" s="1" t="s">
        <v>17</v>
      </c>
      <c r="J38" s="1" t="b">
        <v>1</v>
      </c>
      <c r="K38" s="2">
        <v>45568.0</v>
      </c>
      <c r="L38" s="1" t="s">
        <v>20</v>
      </c>
      <c r="M38" s="3" t="str">
        <f t="shared" si="1"/>
        <v>✅ OK</v>
      </c>
      <c r="N38" s="3" t="str">
        <f t="shared" si="2"/>
        <v>OK</v>
      </c>
      <c r="O38" s="3" t="str">
        <f t="shared" si="3"/>
        <v>COMPLIANT</v>
      </c>
    </row>
    <row r="39">
      <c r="A39" s="1">
        <v>38.0</v>
      </c>
      <c r="B39" s="1" t="s">
        <v>143</v>
      </c>
      <c r="C39" s="1" t="s">
        <v>16</v>
      </c>
      <c r="D39" s="1" t="s">
        <v>144</v>
      </c>
      <c r="E39" s="1" t="s">
        <v>144</v>
      </c>
      <c r="F39" s="1" t="s">
        <v>145</v>
      </c>
      <c r="G39" s="1" t="b">
        <v>0</v>
      </c>
      <c r="H39" s="1" t="s">
        <v>44</v>
      </c>
      <c r="I39" s="1" t="s">
        <v>17</v>
      </c>
      <c r="J39" s="1" t="b">
        <v>1</v>
      </c>
      <c r="K39" s="2">
        <v>45603.0</v>
      </c>
      <c r="L39" s="1" t="s">
        <v>20</v>
      </c>
      <c r="M39" s="3" t="str">
        <f t="shared" si="1"/>
        <v>✅ OK</v>
      </c>
      <c r="N39" s="3" t="str">
        <f t="shared" si="2"/>
        <v>OK</v>
      </c>
      <c r="O39" s="3" t="str">
        <f t="shared" si="3"/>
        <v>COMPLIANT</v>
      </c>
    </row>
    <row r="40">
      <c r="A40" s="1">
        <v>39.0</v>
      </c>
      <c r="B40" s="1" t="s">
        <v>146</v>
      </c>
      <c r="C40" s="1" t="s">
        <v>26</v>
      </c>
      <c r="D40" s="1" t="s">
        <v>42</v>
      </c>
      <c r="E40" s="1" t="s">
        <v>42</v>
      </c>
      <c r="F40" s="1" t="s">
        <v>147</v>
      </c>
      <c r="G40" s="1" t="b">
        <v>0</v>
      </c>
      <c r="H40" s="1" t="s">
        <v>44</v>
      </c>
      <c r="I40" s="1" t="s">
        <v>17</v>
      </c>
      <c r="J40" s="1" t="b">
        <v>0</v>
      </c>
      <c r="K40" s="2">
        <v>45693.0</v>
      </c>
      <c r="L40" s="1" t="s">
        <v>31</v>
      </c>
      <c r="M40" s="3" t="str">
        <f t="shared" si="1"/>
        <v>✅ OK</v>
      </c>
      <c r="N40" s="3" t="str">
        <f t="shared" si="2"/>
        <v>OK</v>
      </c>
      <c r="O40" s="3" t="str">
        <f t="shared" si="3"/>
        <v>COMPLIANT</v>
      </c>
    </row>
    <row r="41">
      <c r="A41" s="1">
        <v>40.0</v>
      </c>
      <c r="B41" s="1" t="s">
        <v>143</v>
      </c>
      <c r="C41" s="1" t="s">
        <v>16</v>
      </c>
      <c r="D41" s="1" t="s">
        <v>37</v>
      </c>
      <c r="E41" s="1" t="s">
        <v>37</v>
      </c>
      <c r="F41" s="1" t="s">
        <v>148</v>
      </c>
      <c r="G41" s="1" t="b">
        <v>0</v>
      </c>
      <c r="I41" s="1" t="s">
        <v>24</v>
      </c>
      <c r="J41" s="1" t="b">
        <v>1</v>
      </c>
      <c r="K41" s="1" t="s">
        <v>149</v>
      </c>
      <c r="L41" s="1" t="s">
        <v>31</v>
      </c>
      <c r="M41" s="3" t="str">
        <f t="shared" si="1"/>
        <v>✅ OK</v>
      </c>
      <c r="N41" s="3" t="str">
        <f t="shared" si="2"/>
        <v>OK</v>
      </c>
      <c r="O41" s="3" t="str">
        <f t="shared" si="3"/>
        <v>COMPLIANT</v>
      </c>
    </row>
    <row r="42">
      <c r="A42" s="1">
        <v>41.0</v>
      </c>
      <c r="B42" s="1" t="s">
        <v>150</v>
      </c>
      <c r="C42" s="1" t="s">
        <v>41</v>
      </c>
      <c r="D42" s="1" t="s">
        <v>151</v>
      </c>
      <c r="E42" s="1" t="s">
        <v>151</v>
      </c>
      <c r="F42" s="1" t="s">
        <v>152</v>
      </c>
      <c r="G42" s="1" t="b">
        <v>0</v>
      </c>
      <c r="H42" s="1" t="s">
        <v>29</v>
      </c>
      <c r="I42" s="1" t="s">
        <v>35</v>
      </c>
      <c r="J42" s="1" t="b">
        <v>0</v>
      </c>
      <c r="K42" s="1" t="s">
        <v>153</v>
      </c>
      <c r="L42" s="1" t="s">
        <v>20</v>
      </c>
      <c r="M42" s="3" t="str">
        <f t="shared" si="1"/>
        <v>✅ OK</v>
      </c>
      <c r="N42" s="3" t="str">
        <f t="shared" si="2"/>
        <v>OK</v>
      </c>
      <c r="O42" s="3" t="str">
        <f t="shared" si="3"/>
        <v>COMPLIANT</v>
      </c>
    </row>
    <row r="43">
      <c r="A43" s="1">
        <v>42.0</v>
      </c>
      <c r="B43" s="1" t="s">
        <v>154</v>
      </c>
      <c r="C43" s="1" t="s">
        <v>16</v>
      </c>
      <c r="D43" s="1" t="s">
        <v>155</v>
      </c>
      <c r="E43" s="1" t="s">
        <v>155</v>
      </c>
      <c r="F43" s="1" t="s">
        <v>156</v>
      </c>
      <c r="G43" s="1" t="b">
        <v>1</v>
      </c>
      <c r="H43" s="1" t="s">
        <v>29</v>
      </c>
      <c r="I43" s="1" t="s">
        <v>35</v>
      </c>
      <c r="J43" s="1" t="b">
        <v>1</v>
      </c>
      <c r="K43" s="1" t="s">
        <v>157</v>
      </c>
      <c r="L43" s="1" t="s">
        <v>20</v>
      </c>
      <c r="M43" s="3" t="str">
        <f t="shared" si="1"/>
        <v>✅ OK</v>
      </c>
      <c r="N43" s="3" t="str">
        <f t="shared" si="2"/>
        <v>OK</v>
      </c>
      <c r="O43" s="3" t="str">
        <f t="shared" si="3"/>
        <v>COMPLIANT</v>
      </c>
    </row>
    <row r="44">
      <c r="A44" s="1">
        <v>43.0</v>
      </c>
      <c r="B44" s="1" t="s">
        <v>158</v>
      </c>
      <c r="C44" s="1" t="s">
        <v>16</v>
      </c>
      <c r="D44" s="1" t="s">
        <v>42</v>
      </c>
      <c r="E44" s="1" t="s">
        <v>42</v>
      </c>
      <c r="F44" s="1" t="s">
        <v>159</v>
      </c>
      <c r="G44" s="1" t="b">
        <v>1</v>
      </c>
      <c r="H44" s="1" t="s">
        <v>29</v>
      </c>
      <c r="I44" s="1" t="s">
        <v>17</v>
      </c>
      <c r="J44" s="1" t="b">
        <v>1</v>
      </c>
      <c r="K44" s="2">
        <v>45598.0</v>
      </c>
      <c r="L44" s="1" t="s">
        <v>20</v>
      </c>
      <c r="M44" s="3" t="str">
        <f t="shared" si="1"/>
        <v>✅ OK</v>
      </c>
      <c r="N44" s="3" t="str">
        <f t="shared" si="2"/>
        <v>OK</v>
      </c>
      <c r="O44" s="3" t="str">
        <f t="shared" si="3"/>
        <v>COMPLIANT</v>
      </c>
    </row>
    <row r="45">
      <c r="A45" s="1">
        <v>44.0</v>
      </c>
      <c r="B45" s="1" t="s">
        <v>160</v>
      </c>
      <c r="C45" s="1" t="s">
        <v>57</v>
      </c>
      <c r="D45" s="1" t="s">
        <v>144</v>
      </c>
      <c r="E45" s="1" t="s">
        <v>144</v>
      </c>
      <c r="F45" s="1" t="s">
        <v>161</v>
      </c>
      <c r="G45" s="1" t="b">
        <v>0</v>
      </c>
      <c r="I45" s="1" t="s">
        <v>35</v>
      </c>
      <c r="J45" s="1" t="b">
        <v>0</v>
      </c>
      <c r="K45" s="2">
        <v>45839.0</v>
      </c>
      <c r="L45" s="1" t="s">
        <v>31</v>
      </c>
      <c r="M45" s="3" t="str">
        <f t="shared" si="1"/>
        <v>✅ OK</v>
      </c>
      <c r="N45" s="3" t="str">
        <f t="shared" si="2"/>
        <v>OK</v>
      </c>
      <c r="O45" s="3" t="str">
        <f t="shared" si="3"/>
        <v>COMPLIANT</v>
      </c>
    </row>
    <row r="46">
      <c r="A46" s="1">
        <v>45.0</v>
      </c>
      <c r="B46" s="1" t="s">
        <v>162</v>
      </c>
      <c r="C46" s="1" t="s">
        <v>16</v>
      </c>
      <c r="D46" s="1" t="s">
        <v>69</v>
      </c>
      <c r="E46" s="1" t="s">
        <v>69</v>
      </c>
      <c r="F46" s="1" t="s">
        <v>163</v>
      </c>
      <c r="G46" s="1" t="b">
        <v>1</v>
      </c>
      <c r="H46" s="1" t="s">
        <v>44</v>
      </c>
      <c r="I46" s="1" t="s">
        <v>24</v>
      </c>
      <c r="J46" s="1" t="b">
        <v>1</v>
      </c>
      <c r="K46" s="1" t="s">
        <v>164</v>
      </c>
      <c r="L46" s="1" t="s">
        <v>31</v>
      </c>
      <c r="M46" s="3" t="str">
        <f t="shared" si="1"/>
        <v>✅ OK</v>
      </c>
      <c r="N46" s="3" t="str">
        <f t="shared" si="2"/>
        <v>OK</v>
      </c>
      <c r="O46" s="3" t="str">
        <f t="shared" si="3"/>
        <v>COMPLIANT</v>
      </c>
    </row>
    <row r="47">
      <c r="A47" s="1">
        <v>46.0</v>
      </c>
      <c r="B47" s="1" t="s">
        <v>140</v>
      </c>
      <c r="C47" s="1" t="s">
        <v>26</v>
      </c>
      <c r="D47" s="1" t="s">
        <v>74</v>
      </c>
      <c r="E47" s="1" t="s">
        <v>74</v>
      </c>
      <c r="F47" s="1" t="s">
        <v>165</v>
      </c>
      <c r="G47" s="1" t="b">
        <v>0</v>
      </c>
      <c r="H47" s="1" t="s">
        <v>29</v>
      </c>
      <c r="I47" s="1" t="s">
        <v>24</v>
      </c>
      <c r="J47" s="1" t="b">
        <v>0</v>
      </c>
      <c r="K47" s="1" t="s">
        <v>166</v>
      </c>
      <c r="L47" s="1" t="s">
        <v>31</v>
      </c>
      <c r="M47" s="3" t="str">
        <f t="shared" si="1"/>
        <v>✅ OK</v>
      </c>
      <c r="N47" s="3" t="str">
        <f t="shared" si="2"/>
        <v>OK</v>
      </c>
      <c r="O47" s="3" t="str">
        <f t="shared" si="3"/>
        <v>COMPLIANT</v>
      </c>
    </row>
    <row r="48">
      <c r="A48" s="1">
        <v>47.0</v>
      </c>
      <c r="B48" s="1" t="s">
        <v>167</v>
      </c>
      <c r="C48" s="1" t="s">
        <v>41</v>
      </c>
      <c r="D48" s="1" t="s">
        <v>168</v>
      </c>
      <c r="E48" s="1" t="s">
        <v>168</v>
      </c>
      <c r="F48" s="1" t="s">
        <v>169</v>
      </c>
      <c r="G48" s="1" t="b">
        <v>0</v>
      </c>
      <c r="H48" s="1" t="s">
        <v>29</v>
      </c>
      <c r="I48" s="1" t="s">
        <v>35</v>
      </c>
      <c r="J48" s="1" t="b">
        <v>1</v>
      </c>
      <c r="K48" s="2">
        <v>45413.0</v>
      </c>
      <c r="L48" s="1" t="s">
        <v>20</v>
      </c>
      <c r="M48" s="3" t="str">
        <f t="shared" si="1"/>
        <v>✅ OK</v>
      </c>
      <c r="N48" s="3" t="str">
        <f t="shared" si="2"/>
        <v>OK</v>
      </c>
      <c r="O48" s="3" t="str">
        <f t="shared" si="3"/>
        <v>COMPLIANT</v>
      </c>
    </row>
    <row r="49">
      <c r="A49" s="1">
        <v>48.0</v>
      </c>
      <c r="B49" s="1" t="s">
        <v>170</v>
      </c>
      <c r="C49" s="1" t="s">
        <v>26</v>
      </c>
      <c r="D49" s="1" t="s">
        <v>79</v>
      </c>
      <c r="E49" s="1" t="s">
        <v>79</v>
      </c>
      <c r="F49" s="1" t="s">
        <v>171</v>
      </c>
      <c r="G49" s="1" t="b">
        <v>1</v>
      </c>
      <c r="H49" s="1" t="s">
        <v>29</v>
      </c>
      <c r="I49" s="1" t="s">
        <v>24</v>
      </c>
      <c r="J49" s="1" t="b">
        <v>0</v>
      </c>
      <c r="K49" s="1" t="s">
        <v>172</v>
      </c>
      <c r="L49" s="1" t="s">
        <v>20</v>
      </c>
      <c r="M49" s="3" t="str">
        <f t="shared" si="1"/>
        <v>✅ OK</v>
      </c>
      <c r="N49" s="3" t="str">
        <f t="shared" si="2"/>
        <v>OK</v>
      </c>
      <c r="O49" s="3" t="str">
        <f t="shared" si="3"/>
        <v>COMPLIANT</v>
      </c>
    </row>
    <row r="50">
      <c r="A50" s="1">
        <v>49.0</v>
      </c>
      <c r="B50" s="1" t="s">
        <v>170</v>
      </c>
      <c r="C50" s="1" t="s">
        <v>16</v>
      </c>
      <c r="D50" s="1" t="s">
        <v>173</v>
      </c>
      <c r="E50" s="1" t="s">
        <v>173</v>
      </c>
      <c r="F50" s="1" t="s">
        <v>174</v>
      </c>
      <c r="G50" s="1" t="b">
        <v>1</v>
      </c>
      <c r="H50" s="1" t="s">
        <v>29</v>
      </c>
      <c r="I50" s="1" t="s">
        <v>24</v>
      </c>
      <c r="J50" s="1" t="b">
        <v>1</v>
      </c>
      <c r="K50" s="2">
        <v>45119.0</v>
      </c>
      <c r="L50" s="1" t="s">
        <v>20</v>
      </c>
      <c r="M50" s="3" t="str">
        <f t="shared" si="1"/>
        <v>✅ OK</v>
      </c>
      <c r="N50" s="3" t="str">
        <f t="shared" si="2"/>
        <v>OK</v>
      </c>
      <c r="O50" s="3" t="str">
        <f t="shared" si="3"/>
        <v>COMPLIANT</v>
      </c>
    </row>
    <row r="51">
      <c r="A51" s="1">
        <v>50.0</v>
      </c>
      <c r="B51" s="1" t="s">
        <v>175</v>
      </c>
      <c r="C51" s="1" t="s">
        <v>57</v>
      </c>
      <c r="D51" s="1" t="s">
        <v>176</v>
      </c>
      <c r="E51" s="1" t="s">
        <v>176</v>
      </c>
      <c r="F51" s="1" t="s">
        <v>177</v>
      </c>
      <c r="G51" s="1" t="b">
        <v>1</v>
      </c>
      <c r="H51" s="1" t="s">
        <v>44</v>
      </c>
      <c r="I51" s="1" t="s">
        <v>24</v>
      </c>
      <c r="J51" s="1" t="b">
        <v>1</v>
      </c>
      <c r="K51" s="2">
        <v>45021.0</v>
      </c>
      <c r="L51" s="1" t="s">
        <v>20</v>
      </c>
      <c r="M51" s="3" t="str">
        <f t="shared" si="1"/>
        <v>✅ OK</v>
      </c>
      <c r="N51" s="3" t="str">
        <f t="shared" si="2"/>
        <v>OK</v>
      </c>
      <c r="O51" s="3" t="str">
        <f t="shared" si="3"/>
        <v>COMPLIANT</v>
      </c>
    </row>
    <row r="52">
      <c r="A52" s="1">
        <v>51.0</v>
      </c>
      <c r="B52" s="1" t="s">
        <v>178</v>
      </c>
      <c r="C52" s="1" t="s">
        <v>47</v>
      </c>
      <c r="D52" s="1" t="s">
        <v>79</v>
      </c>
      <c r="E52" s="1" t="s">
        <v>79</v>
      </c>
      <c r="F52" s="1" t="s">
        <v>179</v>
      </c>
      <c r="G52" s="1" t="b">
        <v>1</v>
      </c>
      <c r="H52" s="1" t="s">
        <v>44</v>
      </c>
      <c r="I52" s="1" t="s">
        <v>24</v>
      </c>
      <c r="J52" s="1" t="b">
        <v>0</v>
      </c>
      <c r="K52" s="2">
        <v>45084.0</v>
      </c>
      <c r="L52" s="1" t="s">
        <v>31</v>
      </c>
      <c r="M52" s="3" t="str">
        <f t="shared" si="1"/>
        <v>✅ OK</v>
      </c>
      <c r="N52" s="3" t="str">
        <f t="shared" si="2"/>
        <v>OK</v>
      </c>
      <c r="O52" s="3" t="str">
        <f t="shared" si="3"/>
        <v>COMPLIANT</v>
      </c>
    </row>
    <row r="53">
      <c r="A53" s="1">
        <v>52.0</v>
      </c>
      <c r="B53" s="1" t="s">
        <v>180</v>
      </c>
      <c r="C53" s="1" t="s">
        <v>47</v>
      </c>
      <c r="D53" s="1" t="s">
        <v>181</v>
      </c>
      <c r="E53" s="1" t="s">
        <v>181</v>
      </c>
      <c r="F53" s="1" t="s">
        <v>182</v>
      </c>
      <c r="G53" s="1" t="b">
        <v>0</v>
      </c>
      <c r="H53" s="1" t="s">
        <v>44</v>
      </c>
      <c r="I53" s="1" t="s">
        <v>35</v>
      </c>
      <c r="J53" s="1" t="b">
        <v>1</v>
      </c>
      <c r="K53" s="2">
        <v>45295.0</v>
      </c>
      <c r="L53" s="1" t="s">
        <v>20</v>
      </c>
      <c r="M53" s="3" t="str">
        <f t="shared" si="1"/>
        <v>✅ OK</v>
      </c>
      <c r="N53" s="3" t="str">
        <f t="shared" si="2"/>
        <v>OK</v>
      </c>
      <c r="O53" s="3" t="str">
        <f t="shared" si="3"/>
        <v>COMPLIANT</v>
      </c>
    </row>
    <row r="54">
      <c r="A54" s="1">
        <v>53.0</v>
      </c>
      <c r="B54" s="1" t="s">
        <v>183</v>
      </c>
      <c r="C54" s="1" t="s">
        <v>47</v>
      </c>
      <c r="D54" s="1" t="s">
        <v>184</v>
      </c>
      <c r="E54" s="1" t="s">
        <v>184</v>
      </c>
      <c r="F54" s="1" t="s">
        <v>185</v>
      </c>
      <c r="G54" s="1" t="b">
        <v>1</v>
      </c>
      <c r="H54" s="1" t="s">
        <v>29</v>
      </c>
      <c r="I54" s="1" t="s">
        <v>35</v>
      </c>
      <c r="J54" s="1" t="b">
        <v>1</v>
      </c>
      <c r="K54" s="1" t="s">
        <v>186</v>
      </c>
      <c r="L54" s="1" t="s">
        <v>31</v>
      </c>
      <c r="M54" s="3" t="str">
        <f t="shared" si="1"/>
        <v>✅ OK</v>
      </c>
      <c r="N54" s="3" t="str">
        <f t="shared" si="2"/>
        <v>OK</v>
      </c>
      <c r="O54" s="3" t="str">
        <f t="shared" si="3"/>
        <v>COMPLIANT</v>
      </c>
    </row>
    <row r="55">
      <c r="A55" s="1">
        <v>54.0</v>
      </c>
      <c r="B55" s="1" t="s">
        <v>187</v>
      </c>
      <c r="C55" s="1" t="s">
        <v>47</v>
      </c>
      <c r="D55" s="1" t="s">
        <v>42</v>
      </c>
      <c r="E55" s="1" t="s">
        <v>42</v>
      </c>
      <c r="F55" s="1" t="s">
        <v>188</v>
      </c>
      <c r="G55" s="1" t="b">
        <v>1</v>
      </c>
      <c r="I55" s="1" t="s">
        <v>35</v>
      </c>
      <c r="J55" s="1" t="b">
        <v>0</v>
      </c>
      <c r="K55" s="1" t="s">
        <v>189</v>
      </c>
      <c r="L55" s="1" t="s">
        <v>31</v>
      </c>
      <c r="M55" s="3" t="str">
        <f t="shared" si="1"/>
        <v>✅ OK</v>
      </c>
      <c r="N55" s="3" t="str">
        <f t="shared" si="2"/>
        <v>OK</v>
      </c>
      <c r="O55" s="3" t="str">
        <f t="shared" si="3"/>
        <v>COMPLIANT</v>
      </c>
    </row>
    <row r="56">
      <c r="A56" s="1">
        <v>55.0</v>
      </c>
      <c r="B56" s="1" t="s">
        <v>190</v>
      </c>
      <c r="C56" s="1" t="s">
        <v>41</v>
      </c>
      <c r="D56" s="1" t="s">
        <v>79</v>
      </c>
      <c r="E56" s="1" t="s">
        <v>79</v>
      </c>
      <c r="F56" s="1" t="s">
        <v>191</v>
      </c>
      <c r="G56" s="1" t="b">
        <v>0</v>
      </c>
      <c r="H56" s="1" t="s">
        <v>29</v>
      </c>
      <c r="I56" s="1" t="s">
        <v>35</v>
      </c>
      <c r="J56" s="1" t="b">
        <v>1</v>
      </c>
      <c r="K56" s="1" t="s">
        <v>192</v>
      </c>
      <c r="L56" s="1" t="s">
        <v>20</v>
      </c>
      <c r="M56" s="3" t="str">
        <f t="shared" si="1"/>
        <v>✅ OK</v>
      </c>
      <c r="N56" s="3" t="str">
        <f t="shared" si="2"/>
        <v>OK</v>
      </c>
      <c r="O56" s="3" t="str">
        <f t="shared" si="3"/>
        <v>COMPLIANT</v>
      </c>
    </row>
    <row r="57">
      <c r="A57" s="1">
        <v>56.0</v>
      </c>
      <c r="B57" s="1" t="s">
        <v>193</v>
      </c>
      <c r="C57" s="1" t="s">
        <v>41</v>
      </c>
      <c r="D57" s="1" t="s">
        <v>151</v>
      </c>
      <c r="E57" s="1" t="s">
        <v>151</v>
      </c>
      <c r="F57" s="1" t="s">
        <v>194</v>
      </c>
      <c r="G57" s="1" t="b">
        <v>1</v>
      </c>
      <c r="H57" s="1" t="s">
        <v>44</v>
      </c>
      <c r="I57" s="1" t="s">
        <v>24</v>
      </c>
      <c r="J57" s="1" t="b">
        <v>0</v>
      </c>
      <c r="K57" s="1" t="s">
        <v>195</v>
      </c>
      <c r="L57" s="1" t="s">
        <v>31</v>
      </c>
      <c r="M57" s="3" t="str">
        <f t="shared" si="1"/>
        <v>✅ OK</v>
      </c>
      <c r="N57" s="3" t="str">
        <f t="shared" si="2"/>
        <v>OK</v>
      </c>
      <c r="O57" s="3" t="str">
        <f t="shared" si="3"/>
        <v>COMPLIANT</v>
      </c>
    </row>
    <row r="58">
      <c r="A58" s="1">
        <v>57.0</v>
      </c>
      <c r="B58" s="1" t="s">
        <v>196</v>
      </c>
      <c r="C58" s="1" t="s">
        <v>57</v>
      </c>
      <c r="D58" s="1" t="s">
        <v>197</v>
      </c>
      <c r="E58" s="1" t="s">
        <v>197</v>
      </c>
      <c r="F58" s="1" t="s">
        <v>198</v>
      </c>
      <c r="G58" s="1" t="b">
        <v>1</v>
      </c>
      <c r="H58" s="1" t="s">
        <v>19</v>
      </c>
      <c r="I58" s="1" t="s">
        <v>17</v>
      </c>
      <c r="J58" s="1" t="b">
        <v>0</v>
      </c>
      <c r="K58" s="1" t="s">
        <v>199</v>
      </c>
      <c r="L58" s="1" t="s">
        <v>31</v>
      </c>
      <c r="M58" s="3" t="str">
        <f t="shared" si="1"/>
        <v>✅ OK</v>
      </c>
      <c r="N58" s="3" t="str">
        <f t="shared" si="2"/>
        <v>OK</v>
      </c>
      <c r="O58" s="3" t="str">
        <f t="shared" si="3"/>
        <v>COMPLIANT</v>
      </c>
    </row>
    <row r="59">
      <c r="A59" s="1">
        <v>58.0</v>
      </c>
      <c r="B59" s="1" t="s">
        <v>200</v>
      </c>
      <c r="C59" s="1" t="s">
        <v>47</v>
      </c>
      <c r="D59" s="1" t="s">
        <v>173</v>
      </c>
      <c r="E59" s="1" t="s">
        <v>173</v>
      </c>
      <c r="F59" s="1" t="s">
        <v>201</v>
      </c>
      <c r="G59" s="1" t="b">
        <v>0</v>
      </c>
      <c r="H59" s="1" t="s">
        <v>19</v>
      </c>
      <c r="I59" s="1" t="s">
        <v>24</v>
      </c>
      <c r="J59" s="1" t="b">
        <v>0</v>
      </c>
      <c r="K59" s="1" t="s">
        <v>202</v>
      </c>
      <c r="L59" s="1" t="s">
        <v>31</v>
      </c>
      <c r="M59" s="3" t="str">
        <f t="shared" si="1"/>
        <v>✅ OK</v>
      </c>
      <c r="N59" s="3" t="str">
        <f t="shared" si="2"/>
        <v>OK</v>
      </c>
      <c r="O59" s="3" t="str">
        <f t="shared" si="3"/>
        <v>COMPLIANT</v>
      </c>
    </row>
    <row r="60">
      <c r="A60" s="1">
        <v>59.0</v>
      </c>
      <c r="B60" s="1" t="s">
        <v>203</v>
      </c>
      <c r="C60" s="1" t="s">
        <v>16</v>
      </c>
      <c r="D60" s="1" t="s">
        <v>42</v>
      </c>
      <c r="E60" s="1" t="s">
        <v>42</v>
      </c>
      <c r="F60" s="1" t="s">
        <v>204</v>
      </c>
      <c r="G60" s="1" t="b">
        <v>0</v>
      </c>
      <c r="H60" s="1" t="s">
        <v>19</v>
      </c>
      <c r="I60" s="1" t="s">
        <v>24</v>
      </c>
      <c r="J60" s="1" t="b">
        <v>1</v>
      </c>
      <c r="K60" s="1" t="s">
        <v>205</v>
      </c>
      <c r="L60" s="1" t="s">
        <v>31</v>
      </c>
      <c r="M60" s="3" t="str">
        <f t="shared" si="1"/>
        <v>✅ OK</v>
      </c>
      <c r="N60" s="3" t="str">
        <f t="shared" si="2"/>
        <v>OK</v>
      </c>
      <c r="O60" s="3" t="str">
        <f t="shared" si="3"/>
        <v>COMPLIANT</v>
      </c>
    </row>
    <row r="61">
      <c r="A61" s="1">
        <v>60.0</v>
      </c>
      <c r="B61" s="1" t="s">
        <v>206</v>
      </c>
      <c r="C61" s="1" t="s">
        <v>41</v>
      </c>
      <c r="D61" s="1" t="s">
        <v>17</v>
      </c>
      <c r="E61" s="1" t="s">
        <v>17</v>
      </c>
      <c r="F61" s="1" t="s">
        <v>207</v>
      </c>
      <c r="G61" s="1" t="b">
        <v>0</v>
      </c>
      <c r="H61" s="1" t="s">
        <v>29</v>
      </c>
      <c r="I61" s="1" t="s">
        <v>17</v>
      </c>
      <c r="J61" s="1" t="b">
        <v>0</v>
      </c>
      <c r="K61" s="2">
        <v>45324.0</v>
      </c>
      <c r="L61" s="1" t="s">
        <v>31</v>
      </c>
      <c r="M61" s="3" t="str">
        <f t="shared" si="1"/>
        <v>✅ OK</v>
      </c>
      <c r="N61" s="3" t="str">
        <f t="shared" si="2"/>
        <v>OK</v>
      </c>
      <c r="O61" s="3" t="str">
        <f t="shared" si="3"/>
        <v>COMPLIANT</v>
      </c>
    </row>
    <row r="62">
      <c r="A62" s="1">
        <v>61.0</v>
      </c>
      <c r="B62" s="1" t="s">
        <v>208</v>
      </c>
      <c r="C62" s="1" t="s">
        <v>26</v>
      </c>
      <c r="D62" s="1" t="s">
        <v>17</v>
      </c>
      <c r="E62" s="1" t="s">
        <v>17</v>
      </c>
      <c r="F62" s="1" t="s">
        <v>209</v>
      </c>
      <c r="G62" s="1" t="b">
        <v>0</v>
      </c>
      <c r="H62" s="1" t="s">
        <v>29</v>
      </c>
      <c r="I62" s="1" t="s">
        <v>35</v>
      </c>
      <c r="J62" s="1" t="b">
        <v>1</v>
      </c>
      <c r="K62" s="1" t="s">
        <v>210</v>
      </c>
      <c r="L62" s="1" t="s">
        <v>20</v>
      </c>
      <c r="M62" s="3" t="str">
        <f t="shared" si="1"/>
        <v>✅ OK</v>
      </c>
      <c r="N62" s="3" t="str">
        <f t="shared" si="2"/>
        <v>OK</v>
      </c>
      <c r="O62" s="3" t="str">
        <f t="shared" si="3"/>
        <v>COMPLIANT</v>
      </c>
    </row>
    <row r="63">
      <c r="A63" s="1">
        <v>62.0</v>
      </c>
      <c r="B63" s="1" t="s">
        <v>211</v>
      </c>
      <c r="C63" s="1" t="s">
        <v>57</v>
      </c>
      <c r="D63" s="1" t="s">
        <v>42</v>
      </c>
      <c r="E63" s="1" t="s">
        <v>42</v>
      </c>
      <c r="F63" s="1" t="s">
        <v>212</v>
      </c>
      <c r="G63" s="1" t="b">
        <v>0</v>
      </c>
      <c r="H63" s="1" t="s">
        <v>44</v>
      </c>
      <c r="I63" s="1" t="s">
        <v>24</v>
      </c>
      <c r="J63" s="1" t="b">
        <v>1</v>
      </c>
      <c r="K63" s="1" t="s">
        <v>122</v>
      </c>
      <c r="L63" s="1" t="s">
        <v>20</v>
      </c>
      <c r="M63" s="3" t="str">
        <f t="shared" si="1"/>
        <v>✅ OK</v>
      </c>
      <c r="N63" s="3" t="str">
        <f t="shared" si="2"/>
        <v>OK</v>
      </c>
      <c r="O63" s="3" t="str">
        <f t="shared" si="3"/>
        <v>COMPLIANT</v>
      </c>
    </row>
    <row r="64">
      <c r="A64" s="1">
        <v>63.0</v>
      </c>
      <c r="B64" s="1" t="s">
        <v>213</v>
      </c>
      <c r="C64" s="1" t="s">
        <v>47</v>
      </c>
      <c r="D64" s="1" t="s">
        <v>144</v>
      </c>
      <c r="E64" s="1" t="s">
        <v>144</v>
      </c>
      <c r="F64" s="1" t="s">
        <v>214</v>
      </c>
      <c r="G64" s="1" t="b">
        <v>1</v>
      </c>
      <c r="H64" s="1" t="s">
        <v>29</v>
      </c>
      <c r="I64" s="1" t="s">
        <v>17</v>
      </c>
      <c r="J64" s="1" t="b">
        <v>0</v>
      </c>
      <c r="K64" s="2">
        <v>45176.0</v>
      </c>
      <c r="L64" s="1" t="s">
        <v>20</v>
      </c>
      <c r="M64" s="3" t="str">
        <f t="shared" si="1"/>
        <v>✅ OK</v>
      </c>
      <c r="N64" s="3" t="str">
        <f t="shared" si="2"/>
        <v>OK</v>
      </c>
      <c r="O64" s="3" t="str">
        <f t="shared" si="3"/>
        <v>COMPLIANT</v>
      </c>
    </row>
    <row r="65">
      <c r="A65" s="1">
        <v>64.0</v>
      </c>
      <c r="B65" s="1" t="s">
        <v>215</v>
      </c>
      <c r="C65" s="1" t="s">
        <v>47</v>
      </c>
      <c r="D65" s="1" t="s">
        <v>22</v>
      </c>
      <c r="E65" s="1" t="s">
        <v>22</v>
      </c>
      <c r="F65" s="1" t="s">
        <v>216</v>
      </c>
      <c r="G65" s="1" t="b">
        <v>0</v>
      </c>
      <c r="H65" s="1" t="s">
        <v>29</v>
      </c>
      <c r="I65" s="1" t="s">
        <v>17</v>
      </c>
      <c r="J65" s="1" t="b">
        <v>1</v>
      </c>
      <c r="K65" s="1" t="s">
        <v>217</v>
      </c>
      <c r="L65" s="1" t="s">
        <v>20</v>
      </c>
      <c r="M65" s="3" t="str">
        <f t="shared" si="1"/>
        <v>✅ OK</v>
      </c>
      <c r="N65" s="3" t="str">
        <f t="shared" si="2"/>
        <v>OK</v>
      </c>
      <c r="O65" s="3" t="str">
        <f t="shared" si="3"/>
        <v>COMPLIANT</v>
      </c>
    </row>
    <row r="66">
      <c r="A66" s="1">
        <v>65.0</v>
      </c>
      <c r="B66" s="1" t="s">
        <v>50</v>
      </c>
      <c r="C66" s="1" t="s">
        <v>57</v>
      </c>
      <c r="D66" s="1" t="s">
        <v>79</v>
      </c>
      <c r="E66" s="1" t="s">
        <v>79</v>
      </c>
      <c r="F66" s="1" t="s">
        <v>218</v>
      </c>
      <c r="G66" s="1" t="b">
        <v>0</v>
      </c>
      <c r="H66" s="1" t="s">
        <v>29</v>
      </c>
      <c r="I66" s="1" t="s">
        <v>17</v>
      </c>
      <c r="J66" s="1" t="b">
        <v>1</v>
      </c>
      <c r="K66" s="2">
        <v>45109.0</v>
      </c>
      <c r="L66" s="1" t="s">
        <v>31</v>
      </c>
      <c r="M66" s="3" t="str">
        <f t="shared" si="1"/>
        <v>✅ OK</v>
      </c>
      <c r="N66" s="3" t="str">
        <f t="shared" si="2"/>
        <v>OK</v>
      </c>
      <c r="O66" s="3" t="str">
        <f t="shared" si="3"/>
        <v>COMPLIANT</v>
      </c>
    </row>
    <row r="67">
      <c r="A67" s="1">
        <v>66.0</v>
      </c>
      <c r="B67" s="1" t="s">
        <v>219</v>
      </c>
      <c r="C67" s="1" t="s">
        <v>16</v>
      </c>
      <c r="D67" s="1" t="s">
        <v>144</v>
      </c>
      <c r="E67" s="1" t="s">
        <v>144</v>
      </c>
      <c r="F67" s="1" t="s">
        <v>220</v>
      </c>
      <c r="G67" s="1" t="b">
        <v>1</v>
      </c>
      <c r="H67" s="1" t="s">
        <v>44</v>
      </c>
      <c r="I67" s="1" t="s">
        <v>24</v>
      </c>
      <c r="J67" s="1" t="b">
        <v>0</v>
      </c>
      <c r="K67" s="1" t="s">
        <v>221</v>
      </c>
      <c r="L67" s="1" t="s">
        <v>31</v>
      </c>
      <c r="M67" s="3" t="str">
        <f t="shared" si="1"/>
        <v>✅ OK</v>
      </c>
      <c r="N67" s="3" t="str">
        <f t="shared" si="2"/>
        <v>OK</v>
      </c>
      <c r="O67" s="3" t="str">
        <f t="shared" si="3"/>
        <v>COMPLIANT</v>
      </c>
    </row>
    <row r="68">
      <c r="A68" s="1">
        <v>67.0</v>
      </c>
      <c r="B68" s="1" t="s">
        <v>222</v>
      </c>
      <c r="C68" s="1" t="s">
        <v>41</v>
      </c>
      <c r="D68" s="1" t="s">
        <v>79</v>
      </c>
      <c r="E68" s="1" t="s">
        <v>79</v>
      </c>
      <c r="F68" s="1" t="s">
        <v>223</v>
      </c>
      <c r="G68" s="1" t="b">
        <v>1</v>
      </c>
      <c r="H68" s="1" t="s">
        <v>29</v>
      </c>
      <c r="I68" s="1" t="s">
        <v>17</v>
      </c>
      <c r="J68" s="1" t="b">
        <v>0</v>
      </c>
      <c r="K68" s="2">
        <v>45203.0</v>
      </c>
      <c r="L68" s="1" t="s">
        <v>31</v>
      </c>
      <c r="M68" s="3" t="str">
        <f t="shared" si="1"/>
        <v>✅ OK</v>
      </c>
      <c r="N68" s="3" t="str">
        <f t="shared" si="2"/>
        <v>OK</v>
      </c>
      <c r="O68" s="3" t="str">
        <f t="shared" si="3"/>
        <v>COMPLIANT</v>
      </c>
    </row>
    <row r="69">
      <c r="A69" s="1">
        <v>68.0</v>
      </c>
      <c r="B69" s="1" t="s">
        <v>224</v>
      </c>
      <c r="C69" s="1" t="s">
        <v>26</v>
      </c>
      <c r="D69" s="1" t="s">
        <v>22</v>
      </c>
      <c r="E69" s="1" t="s">
        <v>22</v>
      </c>
      <c r="F69" s="1" t="s">
        <v>225</v>
      </c>
      <c r="G69" s="1" t="b">
        <v>1</v>
      </c>
      <c r="H69" s="1" t="s">
        <v>29</v>
      </c>
      <c r="I69" s="1" t="s">
        <v>35</v>
      </c>
      <c r="J69" s="1" t="b">
        <v>0</v>
      </c>
      <c r="K69" s="2">
        <v>45725.0</v>
      </c>
      <c r="L69" s="1" t="s">
        <v>20</v>
      </c>
      <c r="M69" s="3" t="str">
        <f t="shared" si="1"/>
        <v>✅ OK</v>
      </c>
      <c r="N69" s="3" t="str">
        <f t="shared" si="2"/>
        <v>OK</v>
      </c>
      <c r="O69" s="3" t="str">
        <f t="shared" si="3"/>
        <v>COMPLIANT</v>
      </c>
    </row>
    <row r="70">
      <c r="A70" s="1">
        <v>69.0</v>
      </c>
      <c r="B70" s="1" t="s">
        <v>226</v>
      </c>
      <c r="C70" s="1" t="s">
        <v>47</v>
      </c>
      <c r="D70" s="1" t="s">
        <v>227</v>
      </c>
      <c r="E70" s="1" t="s">
        <v>227</v>
      </c>
      <c r="F70" s="1" t="s">
        <v>228</v>
      </c>
      <c r="G70" s="1" t="b">
        <v>0</v>
      </c>
      <c r="H70" s="1" t="s">
        <v>29</v>
      </c>
      <c r="I70" s="1" t="s">
        <v>35</v>
      </c>
      <c r="J70" s="1" t="b">
        <v>1</v>
      </c>
      <c r="K70" s="2">
        <v>45355.0</v>
      </c>
      <c r="L70" s="1" t="s">
        <v>31</v>
      </c>
      <c r="M70" s="3" t="str">
        <f t="shared" si="1"/>
        <v>✅ OK</v>
      </c>
      <c r="N70" s="3" t="str">
        <f t="shared" si="2"/>
        <v>OK</v>
      </c>
      <c r="O70" s="3" t="str">
        <f t="shared" si="3"/>
        <v>COMPLIANT</v>
      </c>
    </row>
    <row r="71">
      <c r="A71" s="1">
        <v>70.0</v>
      </c>
      <c r="B71" s="1" t="s">
        <v>229</v>
      </c>
      <c r="C71" s="1" t="s">
        <v>41</v>
      </c>
      <c r="D71" s="1" t="s">
        <v>17</v>
      </c>
      <c r="E71" s="1" t="s">
        <v>17</v>
      </c>
      <c r="F71" s="1" t="s">
        <v>230</v>
      </c>
      <c r="G71" s="1" t="b">
        <v>0</v>
      </c>
      <c r="I71" s="1" t="s">
        <v>24</v>
      </c>
      <c r="J71" s="1" t="b">
        <v>0</v>
      </c>
      <c r="K71" s="1" t="s">
        <v>231</v>
      </c>
      <c r="L71" s="1" t="s">
        <v>31</v>
      </c>
      <c r="M71" s="3" t="str">
        <f t="shared" si="1"/>
        <v>✅ OK</v>
      </c>
      <c r="N71" s="3" t="str">
        <f t="shared" si="2"/>
        <v>OK</v>
      </c>
      <c r="O71" s="3" t="str">
        <f t="shared" si="3"/>
        <v>COMPLIANT</v>
      </c>
    </row>
    <row r="72">
      <c r="A72" s="1">
        <v>71.0</v>
      </c>
      <c r="B72" s="1" t="s">
        <v>232</v>
      </c>
      <c r="C72" s="1" t="s">
        <v>26</v>
      </c>
      <c r="D72" s="1" t="s">
        <v>42</v>
      </c>
      <c r="E72" s="1" t="s">
        <v>42</v>
      </c>
      <c r="F72" s="1" t="s">
        <v>233</v>
      </c>
      <c r="G72" s="1" t="b">
        <v>0</v>
      </c>
      <c r="H72" s="1" t="s">
        <v>44</v>
      </c>
      <c r="I72" s="1" t="s">
        <v>35</v>
      </c>
      <c r="J72" s="1" t="b">
        <v>1</v>
      </c>
      <c r="K72" s="2">
        <v>45293.0</v>
      </c>
      <c r="L72" s="1" t="s">
        <v>31</v>
      </c>
      <c r="M72" s="3" t="str">
        <f t="shared" si="1"/>
        <v>✅ OK</v>
      </c>
      <c r="N72" s="3" t="str">
        <f t="shared" si="2"/>
        <v>OK</v>
      </c>
      <c r="O72" s="3" t="str">
        <f t="shared" si="3"/>
        <v>COMPLIANT</v>
      </c>
    </row>
    <row r="73">
      <c r="A73" s="1">
        <v>72.0</v>
      </c>
      <c r="B73" s="1" t="s">
        <v>116</v>
      </c>
      <c r="C73" s="1" t="s">
        <v>47</v>
      </c>
      <c r="D73" s="1" t="s">
        <v>79</v>
      </c>
      <c r="E73" s="1" t="s">
        <v>79</v>
      </c>
      <c r="F73" s="1" t="s">
        <v>234</v>
      </c>
      <c r="G73" s="1" t="b">
        <v>0</v>
      </c>
      <c r="H73" s="1" t="s">
        <v>29</v>
      </c>
      <c r="I73" s="1" t="s">
        <v>24</v>
      </c>
      <c r="J73" s="1" t="b">
        <v>0</v>
      </c>
      <c r="K73" s="1" t="s">
        <v>235</v>
      </c>
      <c r="L73" s="1" t="s">
        <v>20</v>
      </c>
      <c r="M73" s="3" t="str">
        <f t="shared" si="1"/>
        <v>✅ OK</v>
      </c>
      <c r="N73" s="3" t="str">
        <f t="shared" si="2"/>
        <v>OK</v>
      </c>
      <c r="O73" s="3" t="str">
        <f t="shared" si="3"/>
        <v>COMPLIANT</v>
      </c>
    </row>
    <row r="74">
      <c r="A74" s="1">
        <v>73.0</v>
      </c>
      <c r="B74" s="1" t="s">
        <v>82</v>
      </c>
      <c r="C74" s="1" t="s">
        <v>47</v>
      </c>
      <c r="D74" s="1" t="s">
        <v>79</v>
      </c>
      <c r="E74" s="1" t="s">
        <v>79</v>
      </c>
      <c r="F74" s="1" t="s">
        <v>236</v>
      </c>
      <c r="G74" s="1" t="b">
        <v>1</v>
      </c>
      <c r="H74" s="1" t="s">
        <v>44</v>
      </c>
      <c r="I74" s="1" t="s">
        <v>35</v>
      </c>
      <c r="J74" s="1" t="b">
        <v>0</v>
      </c>
      <c r="K74" s="1" t="s">
        <v>237</v>
      </c>
      <c r="L74" s="1" t="s">
        <v>31</v>
      </c>
      <c r="M74" s="3" t="str">
        <f t="shared" si="1"/>
        <v>✅ OK</v>
      </c>
      <c r="N74" s="3" t="str">
        <f t="shared" si="2"/>
        <v>OK</v>
      </c>
      <c r="O74" s="3" t="str">
        <f t="shared" si="3"/>
        <v>COMPLIANT</v>
      </c>
    </row>
    <row r="75">
      <c r="A75" s="1">
        <v>74.0</v>
      </c>
      <c r="B75" s="1" t="s">
        <v>238</v>
      </c>
      <c r="C75" s="1" t="s">
        <v>47</v>
      </c>
      <c r="D75" s="1" t="s">
        <v>239</v>
      </c>
      <c r="E75" s="1" t="s">
        <v>239</v>
      </c>
      <c r="F75" s="1" t="s">
        <v>240</v>
      </c>
      <c r="G75" s="1" t="b">
        <v>0</v>
      </c>
      <c r="H75" s="1" t="s">
        <v>44</v>
      </c>
      <c r="I75" s="1" t="s">
        <v>35</v>
      </c>
      <c r="J75" s="1" t="b">
        <v>0</v>
      </c>
      <c r="K75" s="1" t="s">
        <v>241</v>
      </c>
      <c r="L75" s="1" t="s">
        <v>20</v>
      </c>
      <c r="M75" s="3" t="str">
        <f t="shared" si="1"/>
        <v>✅ OK</v>
      </c>
      <c r="N75" s="3" t="str">
        <f t="shared" si="2"/>
        <v>OK</v>
      </c>
      <c r="O75" s="3" t="str">
        <f t="shared" si="3"/>
        <v>COMPLIANT</v>
      </c>
    </row>
    <row r="76">
      <c r="A76" s="1">
        <v>75.0</v>
      </c>
      <c r="B76" s="1" t="s">
        <v>226</v>
      </c>
      <c r="C76" s="1" t="s">
        <v>16</v>
      </c>
      <c r="D76" s="1" t="s">
        <v>74</v>
      </c>
      <c r="E76" s="1" t="s">
        <v>74</v>
      </c>
      <c r="F76" s="1" t="s">
        <v>242</v>
      </c>
      <c r="G76" s="1" t="b">
        <v>1</v>
      </c>
      <c r="H76" s="1" t="s">
        <v>29</v>
      </c>
      <c r="I76" s="1" t="s">
        <v>24</v>
      </c>
      <c r="J76" s="1" t="b">
        <v>0</v>
      </c>
      <c r="K76" s="1" t="s">
        <v>243</v>
      </c>
      <c r="L76" s="1" t="s">
        <v>20</v>
      </c>
      <c r="M76" s="3" t="str">
        <f t="shared" si="1"/>
        <v>✅ OK</v>
      </c>
      <c r="N76" s="3" t="str">
        <f t="shared" si="2"/>
        <v>OK</v>
      </c>
      <c r="O76" s="3" t="str">
        <f t="shared" si="3"/>
        <v>COMPLIANT</v>
      </c>
    </row>
    <row r="77">
      <c r="A77" s="1">
        <v>76.0</v>
      </c>
      <c r="B77" s="1" t="s">
        <v>244</v>
      </c>
      <c r="C77" s="1" t="s">
        <v>41</v>
      </c>
      <c r="D77" s="1" t="s">
        <v>245</v>
      </c>
      <c r="E77" s="1" t="s">
        <v>245</v>
      </c>
      <c r="F77" s="1" t="s">
        <v>246</v>
      </c>
      <c r="G77" s="1" t="b">
        <v>1</v>
      </c>
      <c r="H77" s="1" t="s">
        <v>44</v>
      </c>
      <c r="I77" s="1" t="s">
        <v>35</v>
      </c>
      <c r="J77" s="1" t="b">
        <v>1</v>
      </c>
      <c r="K77" s="1" t="s">
        <v>247</v>
      </c>
      <c r="L77" s="1" t="s">
        <v>20</v>
      </c>
      <c r="M77" s="3" t="str">
        <f t="shared" si="1"/>
        <v>✅ OK</v>
      </c>
      <c r="N77" s="3" t="str">
        <f t="shared" si="2"/>
        <v>OK</v>
      </c>
      <c r="O77" s="3" t="str">
        <f t="shared" si="3"/>
        <v>COMPLIANT</v>
      </c>
    </row>
    <row r="78">
      <c r="A78" s="1">
        <v>77.0</v>
      </c>
      <c r="B78" s="1" t="s">
        <v>248</v>
      </c>
      <c r="C78" s="1" t="s">
        <v>41</v>
      </c>
      <c r="D78" s="1" t="s">
        <v>249</v>
      </c>
      <c r="E78" s="1" t="s">
        <v>249</v>
      </c>
      <c r="F78" s="1" t="s">
        <v>250</v>
      </c>
      <c r="G78" s="1" t="b">
        <v>1</v>
      </c>
      <c r="I78" s="1" t="s">
        <v>24</v>
      </c>
      <c r="J78" s="1" t="b">
        <v>1</v>
      </c>
      <c r="K78" s="1" t="s">
        <v>195</v>
      </c>
      <c r="L78" s="1" t="s">
        <v>20</v>
      </c>
      <c r="M78" s="3" t="str">
        <f t="shared" si="1"/>
        <v>✅ OK</v>
      </c>
      <c r="N78" s="3" t="str">
        <f t="shared" si="2"/>
        <v>OK</v>
      </c>
      <c r="O78" s="3" t="str">
        <f t="shared" si="3"/>
        <v>COMPLIANT</v>
      </c>
    </row>
    <row r="79">
      <c r="A79" s="1">
        <v>78.0</v>
      </c>
      <c r="B79" s="1" t="s">
        <v>251</v>
      </c>
      <c r="C79" s="1" t="s">
        <v>41</v>
      </c>
      <c r="D79" s="1" t="s">
        <v>42</v>
      </c>
      <c r="E79" s="1" t="s">
        <v>42</v>
      </c>
      <c r="F79" s="1" t="s">
        <v>252</v>
      </c>
      <c r="G79" s="1" t="b">
        <v>0</v>
      </c>
      <c r="H79" s="1" t="s">
        <v>29</v>
      </c>
      <c r="I79" s="1" t="s">
        <v>24</v>
      </c>
      <c r="J79" s="1" t="b">
        <v>0</v>
      </c>
      <c r="K79" s="1" t="s">
        <v>253</v>
      </c>
      <c r="L79" s="1" t="s">
        <v>31</v>
      </c>
      <c r="M79" s="3" t="str">
        <f t="shared" si="1"/>
        <v>✅ OK</v>
      </c>
      <c r="N79" s="3" t="str">
        <f t="shared" si="2"/>
        <v>OK</v>
      </c>
      <c r="O79" s="3" t="str">
        <f t="shared" si="3"/>
        <v>COMPLIANT</v>
      </c>
    </row>
    <row r="80">
      <c r="A80" s="1">
        <v>79.0</v>
      </c>
      <c r="B80" s="1" t="s">
        <v>61</v>
      </c>
      <c r="C80" s="1" t="s">
        <v>47</v>
      </c>
      <c r="D80" s="1" t="s">
        <v>254</v>
      </c>
      <c r="E80" s="1" t="s">
        <v>254</v>
      </c>
      <c r="F80" s="1" t="s">
        <v>255</v>
      </c>
      <c r="G80" s="1" t="b">
        <v>0</v>
      </c>
      <c r="I80" s="1" t="s">
        <v>17</v>
      </c>
      <c r="J80" s="1" t="b">
        <v>0</v>
      </c>
      <c r="K80" s="2">
        <v>45204.0</v>
      </c>
      <c r="L80" s="1" t="s">
        <v>31</v>
      </c>
      <c r="M80" s="3" t="str">
        <f t="shared" si="1"/>
        <v>✅ OK</v>
      </c>
      <c r="N80" s="3" t="str">
        <f t="shared" si="2"/>
        <v>OK</v>
      </c>
      <c r="O80" s="3" t="str">
        <f t="shared" si="3"/>
        <v>COMPLIANT</v>
      </c>
    </row>
    <row r="81">
      <c r="A81" s="1">
        <v>80.0</v>
      </c>
      <c r="B81" s="1" t="s">
        <v>256</v>
      </c>
      <c r="C81" s="1" t="s">
        <v>57</v>
      </c>
      <c r="D81" s="1" t="s">
        <v>54</v>
      </c>
      <c r="E81" s="1" t="s">
        <v>54</v>
      </c>
      <c r="F81" s="1" t="s">
        <v>257</v>
      </c>
      <c r="G81" s="1" t="b">
        <v>0</v>
      </c>
      <c r="H81" s="1" t="s">
        <v>44</v>
      </c>
      <c r="I81" s="1" t="s">
        <v>24</v>
      </c>
      <c r="J81" s="1" t="b">
        <v>1</v>
      </c>
      <c r="K81" s="1" t="s">
        <v>258</v>
      </c>
      <c r="L81" s="1" t="s">
        <v>31</v>
      </c>
      <c r="M81" s="3" t="str">
        <f t="shared" si="1"/>
        <v>✅ OK</v>
      </c>
      <c r="N81" s="3" t="str">
        <f t="shared" si="2"/>
        <v>OK</v>
      </c>
      <c r="O81" s="3" t="str">
        <f t="shared" si="3"/>
        <v>COMPLIANT</v>
      </c>
    </row>
    <row r="82">
      <c r="A82" s="1">
        <v>81.0</v>
      </c>
      <c r="B82" s="1" t="s">
        <v>259</v>
      </c>
      <c r="C82" s="1" t="s">
        <v>41</v>
      </c>
      <c r="D82" s="1" t="s">
        <v>79</v>
      </c>
      <c r="E82" s="1" t="s">
        <v>79</v>
      </c>
      <c r="F82" s="1" t="s">
        <v>260</v>
      </c>
      <c r="G82" s="1" t="b">
        <v>0</v>
      </c>
      <c r="H82" s="1" t="s">
        <v>29</v>
      </c>
      <c r="I82" s="1" t="s">
        <v>35</v>
      </c>
      <c r="J82" s="1" t="b">
        <v>1</v>
      </c>
      <c r="K82" s="1" t="s">
        <v>261</v>
      </c>
      <c r="L82" s="1" t="s">
        <v>20</v>
      </c>
      <c r="M82" s="3" t="str">
        <f t="shared" si="1"/>
        <v>✅ OK</v>
      </c>
      <c r="N82" s="3" t="str">
        <f t="shared" si="2"/>
        <v>OK</v>
      </c>
      <c r="O82" s="3" t="str">
        <f t="shared" si="3"/>
        <v>COMPLIANT</v>
      </c>
    </row>
    <row r="83">
      <c r="A83" s="1">
        <v>82.0</v>
      </c>
      <c r="B83" s="1" t="s">
        <v>262</v>
      </c>
      <c r="C83" s="1" t="s">
        <v>41</v>
      </c>
      <c r="D83" s="1" t="s">
        <v>176</v>
      </c>
      <c r="E83" s="1" t="s">
        <v>176</v>
      </c>
      <c r="F83" s="1" t="s">
        <v>263</v>
      </c>
      <c r="G83" s="1" t="b">
        <v>1</v>
      </c>
      <c r="H83" s="1" t="s">
        <v>29</v>
      </c>
      <c r="I83" s="1" t="s">
        <v>24</v>
      </c>
      <c r="J83" s="1" t="b">
        <v>0</v>
      </c>
      <c r="K83" s="1" t="s">
        <v>264</v>
      </c>
      <c r="L83" s="1" t="s">
        <v>20</v>
      </c>
      <c r="M83" s="3" t="str">
        <f t="shared" si="1"/>
        <v>✅ OK</v>
      </c>
      <c r="N83" s="3" t="str">
        <f t="shared" si="2"/>
        <v>OK</v>
      </c>
      <c r="O83" s="3" t="str">
        <f t="shared" si="3"/>
        <v>COMPLIANT</v>
      </c>
    </row>
    <row r="84">
      <c r="A84" s="1">
        <v>83.0</v>
      </c>
      <c r="B84" s="1" t="s">
        <v>265</v>
      </c>
      <c r="C84" s="1" t="s">
        <v>47</v>
      </c>
      <c r="D84" s="1" t="s">
        <v>42</v>
      </c>
      <c r="E84" s="1" t="s">
        <v>42</v>
      </c>
      <c r="F84" s="1" t="s">
        <v>266</v>
      </c>
      <c r="G84" s="1" t="b">
        <v>1</v>
      </c>
      <c r="H84" s="1" t="s">
        <v>29</v>
      </c>
      <c r="I84" s="1" t="s">
        <v>24</v>
      </c>
      <c r="J84" s="1" t="b">
        <v>1</v>
      </c>
      <c r="K84" s="1" t="s">
        <v>267</v>
      </c>
      <c r="L84" s="1" t="s">
        <v>20</v>
      </c>
      <c r="M84" s="3" t="str">
        <f t="shared" si="1"/>
        <v>✅ OK</v>
      </c>
      <c r="N84" s="3" t="str">
        <f t="shared" si="2"/>
        <v>OK</v>
      </c>
      <c r="O84" s="3" t="str">
        <f t="shared" si="3"/>
        <v>COMPLIANT</v>
      </c>
    </row>
    <row r="85">
      <c r="A85" s="1">
        <v>84.0</v>
      </c>
      <c r="B85" s="1" t="s">
        <v>268</v>
      </c>
      <c r="C85" s="1" t="s">
        <v>16</v>
      </c>
      <c r="D85" s="1" t="s">
        <v>37</v>
      </c>
      <c r="E85" s="1" t="s">
        <v>37</v>
      </c>
      <c r="F85" s="1" t="s">
        <v>269</v>
      </c>
      <c r="G85" s="1" t="b">
        <v>1</v>
      </c>
      <c r="H85" s="1" t="s">
        <v>29</v>
      </c>
      <c r="I85" s="1" t="s">
        <v>17</v>
      </c>
      <c r="J85" s="1" t="b">
        <v>1</v>
      </c>
      <c r="K85" s="1" t="s">
        <v>270</v>
      </c>
      <c r="L85" s="1" t="s">
        <v>20</v>
      </c>
      <c r="M85" s="3" t="str">
        <f t="shared" si="1"/>
        <v>✅ OK</v>
      </c>
      <c r="N85" s="3" t="str">
        <f t="shared" si="2"/>
        <v>OK</v>
      </c>
      <c r="O85" s="3" t="str">
        <f t="shared" si="3"/>
        <v>COMPLIANT</v>
      </c>
    </row>
    <row r="86">
      <c r="A86" s="1">
        <v>85.0</v>
      </c>
      <c r="B86" s="1" t="s">
        <v>271</v>
      </c>
      <c r="C86" s="1" t="s">
        <v>16</v>
      </c>
      <c r="D86" s="1" t="s">
        <v>79</v>
      </c>
      <c r="E86" s="1" t="s">
        <v>79</v>
      </c>
      <c r="F86" s="1" t="s">
        <v>272</v>
      </c>
      <c r="G86" s="1" t="b">
        <v>0</v>
      </c>
      <c r="I86" s="1" t="s">
        <v>17</v>
      </c>
      <c r="J86" s="1" t="b">
        <v>0</v>
      </c>
      <c r="K86" s="1" t="s">
        <v>273</v>
      </c>
      <c r="L86" s="1" t="s">
        <v>31</v>
      </c>
      <c r="M86" s="3" t="str">
        <f t="shared" si="1"/>
        <v>✅ OK</v>
      </c>
      <c r="N86" s="3" t="str">
        <f t="shared" si="2"/>
        <v>OK</v>
      </c>
      <c r="O86" s="3" t="str">
        <f t="shared" si="3"/>
        <v>COMPLIANT</v>
      </c>
    </row>
    <row r="87">
      <c r="A87" s="1">
        <v>86.0</v>
      </c>
      <c r="B87" s="1" t="s">
        <v>274</v>
      </c>
      <c r="C87" s="1" t="s">
        <v>41</v>
      </c>
      <c r="D87" s="1" t="s">
        <v>22</v>
      </c>
      <c r="E87" s="1" t="s">
        <v>22</v>
      </c>
      <c r="F87" s="1" t="s">
        <v>275</v>
      </c>
      <c r="G87" s="1" t="b">
        <v>1</v>
      </c>
      <c r="H87" s="1" t="s">
        <v>19</v>
      </c>
      <c r="I87" s="1" t="s">
        <v>17</v>
      </c>
      <c r="J87" s="1" t="b">
        <v>1</v>
      </c>
      <c r="K87" s="1" t="s">
        <v>276</v>
      </c>
      <c r="L87" s="1" t="s">
        <v>31</v>
      </c>
      <c r="M87" s="3" t="str">
        <f t="shared" si="1"/>
        <v>✅ OK</v>
      </c>
      <c r="N87" s="3" t="str">
        <f t="shared" si="2"/>
        <v>OK</v>
      </c>
      <c r="O87" s="3" t="str">
        <f t="shared" si="3"/>
        <v>COMPLIANT</v>
      </c>
    </row>
    <row r="88">
      <c r="A88" s="1">
        <v>87.0</v>
      </c>
      <c r="B88" s="1" t="s">
        <v>277</v>
      </c>
      <c r="C88" s="1" t="s">
        <v>57</v>
      </c>
      <c r="D88" s="1" t="s">
        <v>173</v>
      </c>
      <c r="E88" s="1" t="s">
        <v>173</v>
      </c>
      <c r="F88" s="1" t="s">
        <v>278</v>
      </c>
      <c r="G88" s="1" t="b">
        <v>0</v>
      </c>
      <c r="I88" s="1" t="s">
        <v>24</v>
      </c>
      <c r="J88" s="1" t="b">
        <v>0</v>
      </c>
      <c r="K88" s="1" t="s">
        <v>279</v>
      </c>
      <c r="L88" s="1" t="s">
        <v>31</v>
      </c>
      <c r="M88" s="3" t="str">
        <f t="shared" si="1"/>
        <v>✅ OK</v>
      </c>
      <c r="N88" s="3" t="str">
        <f t="shared" si="2"/>
        <v>OK</v>
      </c>
      <c r="O88" s="3" t="str">
        <f t="shared" si="3"/>
        <v>COMPLIANT</v>
      </c>
    </row>
    <row r="89">
      <c r="A89" s="1">
        <v>88.0</v>
      </c>
      <c r="B89" s="1" t="s">
        <v>256</v>
      </c>
      <c r="C89" s="1" t="s">
        <v>47</v>
      </c>
      <c r="D89" s="1" t="s">
        <v>280</v>
      </c>
      <c r="E89" s="1" t="s">
        <v>280</v>
      </c>
      <c r="F89" s="1" t="s">
        <v>281</v>
      </c>
      <c r="G89" s="1" t="b">
        <v>0</v>
      </c>
      <c r="H89" s="1" t="s">
        <v>29</v>
      </c>
      <c r="I89" s="1" t="s">
        <v>17</v>
      </c>
      <c r="J89" s="1" t="b">
        <v>0</v>
      </c>
      <c r="K89" s="1" t="s">
        <v>282</v>
      </c>
      <c r="L89" s="1" t="s">
        <v>31</v>
      </c>
      <c r="M89" s="3" t="str">
        <f t="shared" si="1"/>
        <v>✅ OK</v>
      </c>
      <c r="N89" s="3" t="str">
        <f t="shared" si="2"/>
        <v>OK</v>
      </c>
      <c r="O89" s="3" t="str">
        <f t="shared" si="3"/>
        <v>COMPLIANT</v>
      </c>
    </row>
    <row r="90">
      <c r="A90" s="1">
        <v>89.0</v>
      </c>
      <c r="B90" s="1" t="s">
        <v>283</v>
      </c>
      <c r="C90" s="1" t="s">
        <v>16</v>
      </c>
      <c r="D90" s="1" t="s">
        <v>101</v>
      </c>
      <c r="E90" s="1" t="s">
        <v>101</v>
      </c>
      <c r="F90" s="1" t="s">
        <v>284</v>
      </c>
      <c r="G90" s="1" t="b">
        <v>1</v>
      </c>
      <c r="H90" s="1" t="s">
        <v>29</v>
      </c>
      <c r="I90" s="1" t="s">
        <v>35</v>
      </c>
      <c r="J90" s="1" t="b">
        <v>0</v>
      </c>
      <c r="K90" s="1" t="s">
        <v>285</v>
      </c>
      <c r="L90" s="1" t="s">
        <v>20</v>
      </c>
      <c r="M90" s="3" t="str">
        <f t="shared" si="1"/>
        <v>✅ OK</v>
      </c>
      <c r="N90" s="3" t="str">
        <f t="shared" si="2"/>
        <v>OK</v>
      </c>
      <c r="O90" s="3" t="str">
        <f t="shared" si="3"/>
        <v>COMPLIANT</v>
      </c>
    </row>
    <row r="91">
      <c r="A91" s="1">
        <v>90.0</v>
      </c>
      <c r="B91" s="1" t="s">
        <v>286</v>
      </c>
      <c r="C91" s="1" t="s">
        <v>26</v>
      </c>
      <c r="D91" s="1" t="s">
        <v>66</v>
      </c>
      <c r="E91" s="1" t="s">
        <v>66</v>
      </c>
      <c r="F91" s="1" t="s">
        <v>287</v>
      </c>
      <c r="G91" s="1" t="b">
        <v>0</v>
      </c>
      <c r="H91" s="1" t="s">
        <v>44</v>
      </c>
      <c r="I91" s="1" t="s">
        <v>24</v>
      </c>
      <c r="J91" s="1" t="b">
        <v>0</v>
      </c>
      <c r="K91" s="1" t="s">
        <v>288</v>
      </c>
      <c r="L91" s="1" t="s">
        <v>31</v>
      </c>
      <c r="M91" s="3" t="str">
        <f t="shared" si="1"/>
        <v>✅ OK</v>
      </c>
      <c r="N91" s="3" t="str">
        <f t="shared" si="2"/>
        <v>OK</v>
      </c>
      <c r="O91" s="3" t="str">
        <f t="shared" si="3"/>
        <v>COMPLIANT</v>
      </c>
    </row>
    <row r="92">
      <c r="A92" s="1">
        <v>91.0</v>
      </c>
      <c r="B92" s="1" t="s">
        <v>65</v>
      </c>
      <c r="C92" s="1" t="s">
        <v>41</v>
      </c>
      <c r="D92" s="1" t="s">
        <v>289</v>
      </c>
      <c r="E92" s="1" t="s">
        <v>289</v>
      </c>
      <c r="F92" s="1" t="s">
        <v>290</v>
      </c>
      <c r="G92" s="1" t="b">
        <v>1</v>
      </c>
      <c r="H92" s="1" t="s">
        <v>44</v>
      </c>
      <c r="I92" s="1" t="s">
        <v>35</v>
      </c>
      <c r="J92" s="1" t="b">
        <v>0</v>
      </c>
      <c r="K92" s="2">
        <v>45051.0</v>
      </c>
      <c r="L92" s="1" t="s">
        <v>20</v>
      </c>
      <c r="M92" s="3" t="str">
        <f t="shared" si="1"/>
        <v>✅ OK</v>
      </c>
      <c r="N92" s="3" t="str">
        <f t="shared" si="2"/>
        <v>OK</v>
      </c>
      <c r="O92" s="3" t="str">
        <f t="shared" si="3"/>
        <v>COMPLIANT</v>
      </c>
    </row>
    <row r="93">
      <c r="A93" s="1">
        <v>92.0</v>
      </c>
      <c r="B93" s="1" t="s">
        <v>291</v>
      </c>
      <c r="C93" s="1" t="s">
        <v>26</v>
      </c>
      <c r="D93" s="1" t="s">
        <v>292</v>
      </c>
      <c r="E93" s="1" t="s">
        <v>292</v>
      </c>
      <c r="F93" s="1" t="s">
        <v>293</v>
      </c>
      <c r="G93" s="1" t="b">
        <v>0</v>
      </c>
      <c r="H93" s="1" t="s">
        <v>29</v>
      </c>
      <c r="I93" s="1" t="s">
        <v>35</v>
      </c>
      <c r="J93" s="1" t="b">
        <v>1</v>
      </c>
      <c r="K93" s="1" t="s">
        <v>294</v>
      </c>
      <c r="L93" s="1" t="s">
        <v>31</v>
      </c>
      <c r="M93" s="3" t="str">
        <f t="shared" si="1"/>
        <v>✅ OK</v>
      </c>
      <c r="N93" s="3" t="str">
        <f t="shared" si="2"/>
        <v>OK</v>
      </c>
      <c r="O93" s="3" t="str">
        <f t="shared" si="3"/>
        <v>COMPLIANT</v>
      </c>
    </row>
    <row r="94">
      <c r="A94" s="1">
        <v>93.0</v>
      </c>
      <c r="B94" s="1" t="s">
        <v>150</v>
      </c>
      <c r="C94" s="1" t="s">
        <v>16</v>
      </c>
      <c r="D94" s="1" t="s">
        <v>254</v>
      </c>
      <c r="E94" s="1" t="s">
        <v>254</v>
      </c>
      <c r="F94" s="1" t="s">
        <v>295</v>
      </c>
      <c r="G94" s="1" t="b">
        <v>0</v>
      </c>
      <c r="I94" s="1" t="s">
        <v>35</v>
      </c>
      <c r="J94" s="1" t="b">
        <v>0</v>
      </c>
      <c r="K94" s="2">
        <v>45265.0</v>
      </c>
      <c r="L94" s="1" t="s">
        <v>31</v>
      </c>
      <c r="M94" s="3" t="str">
        <f t="shared" si="1"/>
        <v>✅ OK</v>
      </c>
      <c r="N94" s="3" t="str">
        <f t="shared" si="2"/>
        <v>OK</v>
      </c>
      <c r="O94" s="3" t="str">
        <f t="shared" si="3"/>
        <v>COMPLIANT</v>
      </c>
    </row>
    <row r="95">
      <c r="A95" s="1">
        <v>94.0</v>
      </c>
      <c r="B95" s="1" t="s">
        <v>296</v>
      </c>
      <c r="C95" s="1" t="s">
        <v>26</v>
      </c>
      <c r="D95" s="1" t="s">
        <v>27</v>
      </c>
      <c r="E95" s="1" t="s">
        <v>27</v>
      </c>
      <c r="F95" s="1" t="s">
        <v>297</v>
      </c>
      <c r="G95" s="1" t="b">
        <v>0</v>
      </c>
      <c r="I95" s="1" t="s">
        <v>35</v>
      </c>
      <c r="J95" s="1" t="b">
        <v>0</v>
      </c>
      <c r="K95" s="1" t="s">
        <v>298</v>
      </c>
      <c r="L95" s="1" t="s">
        <v>20</v>
      </c>
      <c r="M95" s="3" t="str">
        <f t="shared" si="1"/>
        <v>✅ OK</v>
      </c>
      <c r="N95" s="3" t="str">
        <f t="shared" si="2"/>
        <v>OK</v>
      </c>
      <c r="O95" s="3" t="str">
        <f t="shared" si="3"/>
        <v>COMPLIANT</v>
      </c>
    </row>
    <row r="96">
      <c r="A96" s="1">
        <v>95.0</v>
      </c>
      <c r="B96" s="1" t="s">
        <v>299</v>
      </c>
      <c r="C96" s="1" t="s">
        <v>47</v>
      </c>
      <c r="D96" s="1" t="s">
        <v>151</v>
      </c>
      <c r="E96" s="1" t="s">
        <v>151</v>
      </c>
      <c r="F96" s="1" t="s">
        <v>300</v>
      </c>
      <c r="G96" s="1" t="b">
        <v>0</v>
      </c>
      <c r="H96" s="1" t="s">
        <v>44</v>
      </c>
      <c r="I96" s="1" t="s">
        <v>35</v>
      </c>
      <c r="J96" s="1" t="b">
        <v>0</v>
      </c>
      <c r="K96" s="1" t="s">
        <v>267</v>
      </c>
      <c r="L96" s="1" t="s">
        <v>31</v>
      </c>
      <c r="M96" s="3" t="str">
        <f t="shared" si="1"/>
        <v>✅ OK</v>
      </c>
      <c r="N96" s="3" t="str">
        <f t="shared" si="2"/>
        <v>OK</v>
      </c>
      <c r="O96" s="3" t="str">
        <f t="shared" si="3"/>
        <v>COMPLIANT</v>
      </c>
    </row>
    <row r="97">
      <c r="A97" s="1">
        <v>96.0</v>
      </c>
      <c r="B97" s="1" t="s">
        <v>301</v>
      </c>
      <c r="C97" s="1" t="s">
        <v>41</v>
      </c>
      <c r="D97" s="1" t="s">
        <v>42</v>
      </c>
      <c r="E97" s="1" t="s">
        <v>42</v>
      </c>
      <c r="F97" s="1" t="s">
        <v>302</v>
      </c>
      <c r="G97" s="1" t="b">
        <v>1</v>
      </c>
      <c r="H97" s="1" t="s">
        <v>44</v>
      </c>
      <c r="I97" s="1" t="s">
        <v>17</v>
      </c>
      <c r="J97" s="1" t="b">
        <v>0</v>
      </c>
      <c r="K97" s="1" t="s">
        <v>303</v>
      </c>
      <c r="L97" s="1" t="s">
        <v>20</v>
      </c>
      <c r="M97" s="3" t="str">
        <f t="shared" si="1"/>
        <v>✅ OK</v>
      </c>
      <c r="N97" s="3" t="str">
        <f t="shared" si="2"/>
        <v>OK</v>
      </c>
      <c r="O97" s="3" t="str">
        <f t="shared" si="3"/>
        <v>COMPLIANT</v>
      </c>
    </row>
    <row r="98">
      <c r="A98" s="1">
        <v>97.0</v>
      </c>
      <c r="B98" s="1" t="s">
        <v>304</v>
      </c>
      <c r="C98" s="1" t="s">
        <v>57</v>
      </c>
      <c r="D98" s="1" t="s">
        <v>144</v>
      </c>
      <c r="E98" s="1" t="s">
        <v>144</v>
      </c>
      <c r="F98" s="1" t="s">
        <v>305</v>
      </c>
      <c r="G98" s="1" t="b">
        <v>0</v>
      </c>
      <c r="H98" s="1" t="s">
        <v>29</v>
      </c>
      <c r="I98" s="1" t="s">
        <v>24</v>
      </c>
      <c r="J98" s="1" t="b">
        <v>1</v>
      </c>
      <c r="K98" s="1" t="s">
        <v>306</v>
      </c>
      <c r="L98" s="1" t="s">
        <v>20</v>
      </c>
      <c r="M98" s="3" t="str">
        <f t="shared" si="1"/>
        <v>✅ OK</v>
      </c>
      <c r="N98" s="3" t="str">
        <f t="shared" si="2"/>
        <v>OK</v>
      </c>
      <c r="O98" s="3" t="str">
        <f t="shared" si="3"/>
        <v>COMPLIANT</v>
      </c>
    </row>
    <row r="99">
      <c r="A99" s="1">
        <v>98.0</v>
      </c>
      <c r="B99" s="1" t="s">
        <v>307</v>
      </c>
      <c r="C99" s="1" t="s">
        <v>57</v>
      </c>
      <c r="D99" s="1" t="s">
        <v>308</v>
      </c>
      <c r="E99" s="1" t="s">
        <v>308</v>
      </c>
      <c r="F99" s="1" t="s">
        <v>309</v>
      </c>
      <c r="G99" s="1" t="b">
        <v>1</v>
      </c>
      <c r="H99" s="1" t="s">
        <v>44</v>
      </c>
      <c r="I99" s="1" t="s">
        <v>35</v>
      </c>
      <c r="J99" s="1" t="b">
        <v>0</v>
      </c>
      <c r="K99" s="1" t="s">
        <v>310</v>
      </c>
      <c r="L99" s="1" t="s">
        <v>20</v>
      </c>
      <c r="M99" s="3" t="str">
        <f t="shared" si="1"/>
        <v>✅ OK</v>
      </c>
      <c r="N99" s="3" t="str">
        <f t="shared" si="2"/>
        <v>OK</v>
      </c>
      <c r="O99" s="3" t="str">
        <f t="shared" si="3"/>
        <v>COMPLIANT</v>
      </c>
    </row>
    <row r="100">
      <c r="A100" s="1">
        <v>99.0</v>
      </c>
      <c r="B100" s="1" t="s">
        <v>311</v>
      </c>
      <c r="C100" s="1" t="s">
        <v>57</v>
      </c>
      <c r="D100" s="1" t="s">
        <v>312</v>
      </c>
      <c r="E100" s="1" t="s">
        <v>312</v>
      </c>
      <c r="F100" s="1" t="s">
        <v>313</v>
      </c>
      <c r="G100" s="1" t="b">
        <v>0</v>
      </c>
      <c r="H100" s="1" t="s">
        <v>29</v>
      </c>
      <c r="I100" s="1" t="s">
        <v>35</v>
      </c>
      <c r="J100" s="1" t="b">
        <v>0</v>
      </c>
      <c r="K100" s="2">
        <v>45876.0</v>
      </c>
      <c r="L100" s="1" t="s">
        <v>31</v>
      </c>
      <c r="M100" s="3" t="str">
        <f t="shared" si="1"/>
        <v>✅ OK</v>
      </c>
      <c r="N100" s="3" t="str">
        <f t="shared" si="2"/>
        <v>OK</v>
      </c>
      <c r="O100" s="3" t="str">
        <f t="shared" si="3"/>
        <v>COMPLIANT</v>
      </c>
    </row>
    <row r="101">
      <c r="A101" s="1">
        <v>100.0</v>
      </c>
      <c r="B101" s="1" t="s">
        <v>314</v>
      </c>
      <c r="C101" s="1" t="s">
        <v>57</v>
      </c>
      <c r="D101" s="1" t="s">
        <v>315</v>
      </c>
      <c r="E101" s="1" t="s">
        <v>315</v>
      </c>
      <c r="F101" s="1" t="s">
        <v>316</v>
      </c>
      <c r="G101" s="1" t="b">
        <v>1</v>
      </c>
      <c r="H101" s="1" t="s">
        <v>29</v>
      </c>
      <c r="I101" s="1" t="s">
        <v>24</v>
      </c>
      <c r="J101" s="1" t="b">
        <v>1</v>
      </c>
      <c r="K101" s="2">
        <v>45232.0</v>
      </c>
      <c r="L101" s="1" t="s">
        <v>31</v>
      </c>
      <c r="M101" s="3" t="str">
        <f t="shared" si="1"/>
        <v>✅ OK</v>
      </c>
      <c r="N101" s="3" t="str">
        <f t="shared" si="2"/>
        <v>OK</v>
      </c>
      <c r="O101" s="3" t="str">
        <f t="shared" si="3"/>
        <v>COMPLIANT</v>
      </c>
    </row>
    <row r="102">
      <c r="A102" s="1">
        <v>101.0</v>
      </c>
      <c r="B102" s="1" t="s">
        <v>291</v>
      </c>
      <c r="C102" s="1" t="s">
        <v>26</v>
      </c>
      <c r="D102" s="1" t="s">
        <v>51</v>
      </c>
      <c r="E102" s="1" t="s">
        <v>51</v>
      </c>
      <c r="F102" s="1" t="s">
        <v>317</v>
      </c>
      <c r="G102" s="1" t="b">
        <v>1</v>
      </c>
      <c r="H102" s="1" t="s">
        <v>44</v>
      </c>
      <c r="I102" s="1" t="s">
        <v>35</v>
      </c>
      <c r="J102" s="1" t="b">
        <v>1</v>
      </c>
      <c r="K102" s="2">
        <v>45966.0</v>
      </c>
      <c r="L102" s="1" t="s">
        <v>31</v>
      </c>
      <c r="M102" s="3" t="str">
        <f t="shared" si="1"/>
        <v>✅ OK</v>
      </c>
      <c r="N102" s="3" t="str">
        <f t="shared" si="2"/>
        <v>OK</v>
      </c>
      <c r="O102" s="3" t="str">
        <f t="shared" si="3"/>
        <v>COMPLIANT</v>
      </c>
    </row>
    <row r="103">
      <c r="A103" s="1">
        <v>102.0</v>
      </c>
      <c r="B103" s="1" t="s">
        <v>318</v>
      </c>
      <c r="C103" s="1" t="s">
        <v>47</v>
      </c>
      <c r="D103" s="1" t="s">
        <v>22</v>
      </c>
      <c r="E103" s="1" t="s">
        <v>22</v>
      </c>
      <c r="F103" s="1" t="s">
        <v>319</v>
      </c>
      <c r="G103" s="1" t="b">
        <v>0</v>
      </c>
      <c r="H103" s="1" t="s">
        <v>29</v>
      </c>
      <c r="I103" s="1" t="s">
        <v>24</v>
      </c>
      <c r="J103" s="1" t="b">
        <v>0</v>
      </c>
      <c r="K103" s="2">
        <v>45145.0</v>
      </c>
      <c r="L103" s="1" t="s">
        <v>31</v>
      </c>
      <c r="M103" s="3" t="str">
        <f t="shared" si="1"/>
        <v>✅ OK</v>
      </c>
      <c r="N103" s="3" t="str">
        <f t="shared" si="2"/>
        <v>OK</v>
      </c>
      <c r="O103" s="3" t="str">
        <f t="shared" si="3"/>
        <v>COMPLIANT</v>
      </c>
    </row>
    <row r="104">
      <c r="A104" s="1">
        <v>103.0</v>
      </c>
      <c r="B104" s="1" t="s">
        <v>320</v>
      </c>
      <c r="C104" s="1" t="s">
        <v>57</v>
      </c>
      <c r="D104" s="1" t="s">
        <v>83</v>
      </c>
      <c r="E104" s="1" t="s">
        <v>83</v>
      </c>
      <c r="F104" s="1" t="s">
        <v>321</v>
      </c>
      <c r="G104" s="1" t="b">
        <v>1</v>
      </c>
      <c r="H104" s="1" t="s">
        <v>44</v>
      </c>
      <c r="I104" s="1" t="s">
        <v>35</v>
      </c>
      <c r="J104" s="1" t="b">
        <v>0</v>
      </c>
      <c r="K104" s="1" t="s">
        <v>322</v>
      </c>
      <c r="L104" s="1" t="s">
        <v>20</v>
      </c>
      <c r="M104" s="3" t="str">
        <f t="shared" si="1"/>
        <v>✅ OK</v>
      </c>
      <c r="N104" s="3" t="str">
        <f t="shared" si="2"/>
        <v>OK</v>
      </c>
      <c r="O104" s="3" t="str">
        <f t="shared" si="3"/>
        <v>COMPLIANT</v>
      </c>
    </row>
    <row r="105">
      <c r="A105" s="1">
        <v>104.0</v>
      </c>
      <c r="B105" s="1" t="s">
        <v>323</v>
      </c>
      <c r="C105" s="1" t="s">
        <v>57</v>
      </c>
      <c r="D105" s="1" t="s">
        <v>79</v>
      </c>
      <c r="E105" s="1" t="s">
        <v>79</v>
      </c>
      <c r="F105" s="1" t="s">
        <v>324</v>
      </c>
      <c r="G105" s="1" t="b">
        <v>1</v>
      </c>
      <c r="H105" s="1" t="s">
        <v>29</v>
      </c>
      <c r="I105" s="1" t="s">
        <v>17</v>
      </c>
      <c r="J105" s="1" t="b">
        <v>1</v>
      </c>
      <c r="K105" s="2">
        <v>45969.0</v>
      </c>
      <c r="L105" s="1" t="s">
        <v>31</v>
      </c>
      <c r="M105" s="3" t="str">
        <f t="shared" si="1"/>
        <v>✅ OK</v>
      </c>
      <c r="N105" s="3" t="str">
        <f t="shared" si="2"/>
        <v>OK</v>
      </c>
      <c r="O105" s="3" t="str">
        <f t="shared" si="3"/>
        <v>COMPLIANT</v>
      </c>
    </row>
    <row r="106">
      <c r="A106" s="1">
        <v>105.0</v>
      </c>
      <c r="B106" s="1" t="s">
        <v>325</v>
      </c>
      <c r="C106" s="1" t="s">
        <v>47</v>
      </c>
      <c r="D106" s="1" t="s">
        <v>66</v>
      </c>
      <c r="E106" s="1" t="s">
        <v>66</v>
      </c>
      <c r="F106" s="1" t="s">
        <v>326</v>
      </c>
      <c r="G106" s="1" t="b">
        <v>0</v>
      </c>
      <c r="I106" s="1" t="s">
        <v>17</v>
      </c>
      <c r="J106" s="1" t="b">
        <v>1</v>
      </c>
      <c r="K106" s="2">
        <v>45482.0</v>
      </c>
      <c r="L106" s="1" t="s">
        <v>20</v>
      </c>
      <c r="M106" s="3" t="str">
        <f t="shared" si="1"/>
        <v>✅ OK</v>
      </c>
      <c r="N106" s="3" t="str">
        <f t="shared" si="2"/>
        <v>OK</v>
      </c>
      <c r="O106" s="3" t="str">
        <f t="shared" si="3"/>
        <v>COMPLIANT</v>
      </c>
    </row>
    <row r="107">
      <c r="A107" s="1">
        <v>106.0</v>
      </c>
      <c r="B107" s="1" t="s">
        <v>327</v>
      </c>
      <c r="C107" s="1" t="s">
        <v>57</v>
      </c>
      <c r="D107" s="1" t="s">
        <v>151</v>
      </c>
      <c r="E107" s="1" t="s">
        <v>151</v>
      </c>
      <c r="F107" s="1" t="s">
        <v>328</v>
      </c>
      <c r="G107" s="1" t="b">
        <v>1</v>
      </c>
      <c r="H107" s="1" t="s">
        <v>29</v>
      </c>
      <c r="I107" s="1" t="s">
        <v>35</v>
      </c>
      <c r="J107" s="1" t="b">
        <v>0</v>
      </c>
      <c r="K107" s="1" t="s">
        <v>329</v>
      </c>
      <c r="L107" s="1" t="s">
        <v>31</v>
      </c>
      <c r="M107" s="3" t="str">
        <f t="shared" si="1"/>
        <v>✅ OK</v>
      </c>
      <c r="N107" s="3" t="str">
        <f t="shared" si="2"/>
        <v>OK</v>
      </c>
      <c r="O107" s="3" t="str">
        <f t="shared" si="3"/>
        <v>COMPLIANT</v>
      </c>
    </row>
    <row r="108">
      <c r="A108" s="1">
        <v>107.0</v>
      </c>
      <c r="B108" s="1" t="s">
        <v>330</v>
      </c>
      <c r="C108" s="1" t="s">
        <v>47</v>
      </c>
      <c r="D108" s="1" t="s">
        <v>33</v>
      </c>
      <c r="E108" s="1" t="s">
        <v>33</v>
      </c>
      <c r="F108" s="1" t="s">
        <v>331</v>
      </c>
      <c r="G108" s="1" t="b">
        <v>0</v>
      </c>
      <c r="H108" s="1" t="s">
        <v>44</v>
      </c>
      <c r="I108" s="1" t="s">
        <v>24</v>
      </c>
      <c r="J108" s="1" t="b">
        <v>0</v>
      </c>
      <c r="K108" s="1" t="s">
        <v>332</v>
      </c>
      <c r="L108" s="1" t="s">
        <v>31</v>
      </c>
      <c r="M108" s="3" t="str">
        <f t="shared" si="1"/>
        <v>✅ OK</v>
      </c>
      <c r="N108" s="3" t="str">
        <f t="shared" si="2"/>
        <v>OK</v>
      </c>
      <c r="O108" s="3" t="str">
        <f t="shared" si="3"/>
        <v>COMPLIANT</v>
      </c>
    </row>
    <row r="109">
      <c r="A109" s="1">
        <v>108.0</v>
      </c>
      <c r="B109" s="1" t="s">
        <v>333</v>
      </c>
      <c r="C109" s="1" t="s">
        <v>41</v>
      </c>
      <c r="D109" s="1" t="s">
        <v>334</v>
      </c>
      <c r="E109" s="1" t="s">
        <v>334</v>
      </c>
      <c r="F109" s="1" t="s">
        <v>335</v>
      </c>
      <c r="G109" s="1" t="b">
        <v>0</v>
      </c>
      <c r="H109" s="1" t="s">
        <v>29</v>
      </c>
      <c r="I109" s="1" t="s">
        <v>35</v>
      </c>
      <c r="J109" s="1" t="b">
        <v>1</v>
      </c>
      <c r="K109" s="1" t="s">
        <v>336</v>
      </c>
      <c r="L109" s="1" t="s">
        <v>20</v>
      </c>
      <c r="M109" s="3" t="str">
        <f t="shared" si="1"/>
        <v>✅ OK</v>
      </c>
      <c r="N109" s="3" t="str">
        <f t="shared" si="2"/>
        <v>OK</v>
      </c>
      <c r="O109" s="3" t="str">
        <f t="shared" si="3"/>
        <v>COMPLIANT</v>
      </c>
    </row>
    <row r="110">
      <c r="A110" s="1">
        <v>109.0</v>
      </c>
      <c r="B110" s="1" t="s">
        <v>337</v>
      </c>
      <c r="C110" s="1" t="s">
        <v>26</v>
      </c>
      <c r="D110" s="1" t="s">
        <v>37</v>
      </c>
      <c r="E110" s="1" t="s">
        <v>37</v>
      </c>
      <c r="F110" s="1" t="s">
        <v>338</v>
      </c>
      <c r="G110" s="1" t="b">
        <v>1</v>
      </c>
      <c r="H110" s="1" t="s">
        <v>29</v>
      </c>
      <c r="I110" s="1" t="s">
        <v>24</v>
      </c>
      <c r="J110" s="1" t="b">
        <v>1</v>
      </c>
      <c r="K110" s="2">
        <v>45242.0</v>
      </c>
      <c r="L110" s="1" t="s">
        <v>31</v>
      </c>
      <c r="M110" s="3" t="str">
        <f t="shared" si="1"/>
        <v>✅ OK</v>
      </c>
      <c r="N110" s="3" t="str">
        <f t="shared" si="2"/>
        <v>OK</v>
      </c>
      <c r="O110" s="3" t="str">
        <f t="shared" si="3"/>
        <v>COMPLIANT</v>
      </c>
    </row>
    <row r="111">
      <c r="A111" s="1">
        <v>110.0</v>
      </c>
      <c r="B111" s="1" t="s">
        <v>339</v>
      </c>
      <c r="C111" s="1" t="s">
        <v>47</v>
      </c>
      <c r="D111" s="1" t="s">
        <v>144</v>
      </c>
      <c r="E111" s="1" t="s">
        <v>144</v>
      </c>
      <c r="F111" s="1" t="s">
        <v>340</v>
      </c>
      <c r="G111" s="1" t="b">
        <v>0</v>
      </c>
      <c r="H111" s="1" t="s">
        <v>19</v>
      </c>
      <c r="I111" s="1" t="s">
        <v>35</v>
      </c>
      <c r="J111" s="1" t="b">
        <v>1</v>
      </c>
      <c r="K111" s="1" t="s">
        <v>217</v>
      </c>
      <c r="L111" s="1" t="s">
        <v>31</v>
      </c>
      <c r="M111" s="3" t="str">
        <f t="shared" si="1"/>
        <v>✅ OK</v>
      </c>
      <c r="N111" s="3" t="str">
        <f t="shared" si="2"/>
        <v>OK</v>
      </c>
      <c r="O111" s="3" t="str">
        <f t="shared" si="3"/>
        <v>COMPLIANT</v>
      </c>
    </row>
    <row r="112">
      <c r="A112" s="1">
        <v>111.0</v>
      </c>
      <c r="B112" s="1" t="s">
        <v>143</v>
      </c>
      <c r="C112" s="1" t="s">
        <v>41</v>
      </c>
      <c r="D112" s="1" t="s">
        <v>151</v>
      </c>
      <c r="E112" s="1" t="s">
        <v>151</v>
      </c>
      <c r="F112" s="1" t="s">
        <v>341</v>
      </c>
      <c r="G112" s="1" t="b">
        <v>0</v>
      </c>
      <c r="H112" s="1" t="s">
        <v>44</v>
      </c>
      <c r="I112" s="1" t="s">
        <v>17</v>
      </c>
      <c r="J112" s="1" t="b">
        <v>0</v>
      </c>
      <c r="K112" s="2">
        <v>45901.0</v>
      </c>
      <c r="L112" s="1" t="s">
        <v>31</v>
      </c>
      <c r="M112" s="3" t="str">
        <f t="shared" si="1"/>
        <v>✅ OK</v>
      </c>
      <c r="N112" s="3" t="str">
        <f t="shared" si="2"/>
        <v>OK</v>
      </c>
      <c r="O112" s="3" t="str">
        <f t="shared" si="3"/>
        <v>COMPLIANT</v>
      </c>
    </row>
    <row r="113">
      <c r="A113" s="1">
        <v>112.0</v>
      </c>
      <c r="B113" s="1" t="s">
        <v>110</v>
      </c>
      <c r="C113" s="1" t="s">
        <v>16</v>
      </c>
      <c r="D113" s="1" t="s">
        <v>79</v>
      </c>
      <c r="E113" s="1" t="s">
        <v>79</v>
      </c>
      <c r="F113" s="1" t="s">
        <v>342</v>
      </c>
      <c r="G113" s="1" t="b">
        <v>1</v>
      </c>
      <c r="H113" s="1" t="s">
        <v>29</v>
      </c>
      <c r="I113" s="1" t="s">
        <v>24</v>
      </c>
      <c r="J113" s="1" t="b">
        <v>1</v>
      </c>
      <c r="K113" s="2">
        <v>45050.0</v>
      </c>
      <c r="L113" s="1" t="s">
        <v>31</v>
      </c>
      <c r="M113" s="3" t="str">
        <f t="shared" si="1"/>
        <v>✅ OK</v>
      </c>
      <c r="N113" s="3" t="str">
        <f t="shared" si="2"/>
        <v>OK</v>
      </c>
      <c r="O113" s="3" t="str">
        <f t="shared" si="3"/>
        <v>COMPLIANT</v>
      </c>
    </row>
    <row r="114">
      <c r="A114" s="1">
        <v>113.0</v>
      </c>
      <c r="B114" s="1" t="s">
        <v>343</v>
      </c>
      <c r="C114" s="1" t="s">
        <v>47</v>
      </c>
      <c r="D114" s="1" t="s">
        <v>22</v>
      </c>
      <c r="E114" s="1" t="s">
        <v>22</v>
      </c>
      <c r="F114" s="1" t="s">
        <v>344</v>
      </c>
      <c r="G114" s="1" t="b">
        <v>1</v>
      </c>
      <c r="H114" s="1" t="s">
        <v>19</v>
      </c>
      <c r="I114" s="1" t="s">
        <v>35</v>
      </c>
      <c r="J114" s="1" t="b">
        <v>1</v>
      </c>
      <c r="K114" s="2">
        <v>45303.0</v>
      </c>
      <c r="L114" s="1" t="s">
        <v>31</v>
      </c>
      <c r="M114" s="3" t="str">
        <f t="shared" si="1"/>
        <v>✅ OK</v>
      </c>
      <c r="N114" s="3" t="str">
        <f t="shared" si="2"/>
        <v>OK</v>
      </c>
      <c r="O114" s="3" t="str">
        <f t="shared" si="3"/>
        <v>COMPLIANT</v>
      </c>
    </row>
    <row r="115">
      <c r="A115" s="1">
        <v>114.0</v>
      </c>
      <c r="B115" s="1" t="s">
        <v>178</v>
      </c>
      <c r="C115" s="1" t="s">
        <v>26</v>
      </c>
      <c r="D115" s="1" t="s">
        <v>37</v>
      </c>
      <c r="E115" s="1" t="s">
        <v>37</v>
      </c>
      <c r="F115" s="1" t="s">
        <v>345</v>
      </c>
      <c r="G115" s="1" t="b">
        <v>1</v>
      </c>
      <c r="H115" s="1" t="s">
        <v>44</v>
      </c>
      <c r="I115" s="1" t="s">
        <v>17</v>
      </c>
      <c r="J115" s="1" t="b">
        <v>1</v>
      </c>
      <c r="K115" s="1" t="s">
        <v>346</v>
      </c>
      <c r="L115" s="1" t="s">
        <v>20</v>
      </c>
      <c r="M115" s="3" t="str">
        <f t="shared" si="1"/>
        <v>✅ OK</v>
      </c>
      <c r="N115" s="3" t="str">
        <f t="shared" si="2"/>
        <v>OK</v>
      </c>
      <c r="O115" s="3" t="str">
        <f t="shared" si="3"/>
        <v>COMPLIANT</v>
      </c>
    </row>
    <row r="116">
      <c r="A116" s="1">
        <v>115.0</v>
      </c>
      <c r="B116" s="1" t="s">
        <v>347</v>
      </c>
      <c r="C116" s="1" t="s">
        <v>16</v>
      </c>
      <c r="D116" s="1" t="s">
        <v>348</v>
      </c>
      <c r="E116" s="1" t="s">
        <v>348</v>
      </c>
      <c r="F116" s="1" t="s">
        <v>349</v>
      </c>
      <c r="G116" s="1" t="b">
        <v>1</v>
      </c>
      <c r="H116" s="1" t="s">
        <v>29</v>
      </c>
      <c r="I116" s="1" t="s">
        <v>24</v>
      </c>
      <c r="J116" s="1" t="b">
        <v>1</v>
      </c>
      <c r="K116" s="2">
        <v>45049.0</v>
      </c>
      <c r="L116" s="1" t="s">
        <v>20</v>
      </c>
      <c r="M116" s="3" t="str">
        <f t="shared" si="1"/>
        <v>✅ OK</v>
      </c>
      <c r="N116" s="3" t="str">
        <f t="shared" si="2"/>
        <v>OK</v>
      </c>
      <c r="O116" s="3" t="str">
        <f t="shared" si="3"/>
        <v>COMPLIANT</v>
      </c>
    </row>
    <row r="117">
      <c r="A117" s="1">
        <v>116.0</v>
      </c>
      <c r="B117" s="1" t="s">
        <v>68</v>
      </c>
      <c r="C117" s="1" t="s">
        <v>16</v>
      </c>
      <c r="D117" s="1" t="s">
        <v>280</v>
      </c>
      <c r="E117" s="1" t="s">
        <v>280</v>
      </c>
      <c r="F117" s="1" t="s">
        <v>350</v>
      </c>
      <c r="G117" s="1" t="b">
        <v>0</v>
      </c>
      <c r="H117" s="1" t="s">
        <v>44</v>
      </c>
      <c r="I117" s="1" t="s">
        <v>24</v>
      </c>
      <c r="J117" s="1" t="b">
        <v>1</v>
      </c>
      <c r="K117" s="1" t="s">
        <v>351</v>
      </c>
      <c r="L117" s="1" t="s">
        <v>31</v>
      </c>
      <c r="M117" s="3" t="str">
        <f t="shared" si="1"/>
        <v>✅ OK</v>
      </c>
      <c r="N117" s="3" t="str">
        <f t="shared" si="2"/>
        <v>OK</v>
      </c>
      <c r="O117" s="3" t="str">
        <f t="shared" si="3"/>
        <v>COMPLIANT</v>
      </c>
    </row>
    <row r="118">
      <c r="A118" s="1">
        <v>117.0</v>
      </c>
      <c r="B118" s="1" t="s">
        <v>352</v>
      </c>
      <c r="C118" s="1" t="s">
        <v>47</v>
      </c>
      <c r="D118" s="1" t="s">
        <v>42</v>
      </c>
      <c r="E118" s="1" t="s">
        <v>42</v>
      </c>
      <c r="F118" s="1" t="s">
        <v>353</v>
      </c>
      <c r="G118" s="1" t="b">
        <v>1</v>
      </c>
      <c r="H118" s="1" t="s">
        <v>19</v>
      </c>
      <c r="I118" s="1" t="s">
        <v>17</v>
      </c>
      <c r="J118" s="1" t="b">
        <v>1</v>
      </c>
      <c r="K118" s="1" t="s">
        <v>354</v>
      </c>
      <c r="L118" s="1" t="s">
        <v>20</v>
      </c>
      <c r="M118" s="3" t="str">
        <f t="shared" si="1"/>
        <v>✅ OK</v>
      </c>
      <c r="N118" s="3" t="str">
        <f t="shared" si="2"/>
        <v>OK</v>
      </c>
      <c r="O118" s="3" t="str">
        <f t="shared" si="3"/>
        <v>COMPLIANT</v>
      </c>
    </row>
    <row r="119">
      <c r="A119" s="1">
        <v>118.0</v>
      </c>
      <c r="B119" s="1" t="s">
        <v>355</v>
      </c>
      <c r="C119" s="1" t="s">
        <v>16</v>
      </c>
      <c r="D119" s="1" t="s">
        <v>356</v>
      </c>
      <c r="E119" s="1" t="s">
        <v>356</v>
      </c>
      <c r="F119" s="1" t="s">
        <v>357</v>
      </c>
      <c r="G119" s="1" t="b">
        <v>1</v>
      </c>
      <c r="H119" s="1" t="s">
        <v>44</v>
      </c>
      <c r="I119" s="1" t="s">
        <v>17</v>
      </c>
      <c r="J119" s="1" t="b">
        <v>0</v>
      </c>
      <c r="K119" s="2">
        <v>45116.0</v>
      </c>
      <c r="L119" s="1" t="s">
        <v>20</v>
      </c>
      <c r="M119" s="3" t="str">
        <f t="shared" si="1"/>
        <v>✅ OK</v>
      </c>
      <c r="N119" s="3" t="str">
        <f t="shared" si="2"/>
        <v>OK</v>
      </c>
      <c r="O119" s="3" t="str">
        <f t="shared" si="3"/>
        <v>COMPLIANT</v>
      </c>
    </row>
    <row r="120">
      <c r="A120" s="1">
        <v>119.0</v>
      </c>
      <c r="B120" s="1" t="s">
        <v>358</v>
      </c>
      <c r="C120" s="1" t="s">
        <v>41</v>
      </c>
      <c r="D120" s="1" t="s">
        <v>79</v>
      </c>
      <c r="E120" s="1" t="s">
        <v>356</v>
      </c>
      <c r="F120" s="1" t="s">
        <v>359</v>
      </c>
      <c r="G120" s="1" t="b">
        <v>0</v>
      </c>
      <c r="H120" s="1" t="s">
        <v>44</v>
      </c>
      <c r="I120" s="1" t="s">
        <v>17</v>
      </c>
      <c r="J120" s="1" t="b">
        <v>1</v>
      </c>
      <c r="K120" s="1" t="s">
        <v>360</v>
      </c>
      <c r="L120" s="1" t="s">
        <v>20</v>
      </c>
      <c r="M120" s="3" t="str">
        <f t="shared" si="1"/>
        <v>✅ OK</v>
      </c>
      <c r="N120" s="3" t="str">
        <f t="shared" si="2"/>
        <v>🚩 FRAUD ALERT</v>
      </c>
      <c r="O120" s="3" t="str">
        <f t="shared" si="3"/>
        <v>CRITICAL</v>
      </c>
    </row>
    <row r="121">
      <c r="A121" s="1">
        <v>120.0</v>
      </c>
      <c r="B121" s="1" t="s">
        <v>361</v>
      </c>
      <c r="C121" s="1" t="s">
        <v>41</v>
      </c>
      <c r="D121" s="1" t="s">
        <v>79</v>
      </c>
      <c r="E121" s="1" t="s">
        <v>79</v>
      </c>
      <c r="F121" s="1" t="s">
        <v>362</v>
      </c>
      <c r="G121" s="1" t="b">
        <v>0</v>
      </c>
      <c r="H121" s="1" t="s">
        <v>29</v>
      </c>
      <c r="I121" s="1" t="s">
        <v>17</v>
      </c>
      <c r="J121" s="1" t="b">
        <v>1</v>
      </c>
      <c r="K121" s="2">
        <v>44931.0</v>
      </c>
      <c r="L121" s="1" t="s">
        <v>31</v>
      </c>
      <c r="M121" s="3" t="str">
        <f t="shared" si="1"/>
        <v>✅ OK</v>
      </c>
      <c r="N121" s="3" t="str">
        <f t="shared" si="2"/>
        <v>OK</v>
      </c>
      <c r="O121" s="3" t="str">
        <f t="shared" si="3"/>
        <v>COMPLIANT</v>
      </c>
    </row>
    <row r="122">
      <c r="A122" s="1">
        <v>121.0</v>
      </c>
      <c r="B122" s="1" t="s">
        <v>363</v>
      </c>
      <c r="C122" s="1" t="s">
        <v>41</v>
      </c>
      <c r="D122" s="1" t="s">
        <v>364</v>
      </c>
      <c r="E122" s="1" t="s">
        <v>364</v>
      </c>
      <c r="F122" s="1" t="s">
        <v>365</v>
      </c>
      <c r="G122" s="1" t="b">
        <v>1</v>
      </c>
      <c r="H122" s="1" t="s">
        <v>44</v>
      </c>
      <c r="I122" s="1" t="s">
        <v>24</v>
      </c>
      <c r="J122" s="1" t="b">
        <v>1</v>
      </c>
      <c r="K122" s="2">
        <v>45295.0</v>
      </c>
      <c r="L122" s="1" t="s">
        <v>20</v>
      </c>
      <c r="M122" s="3" t="str">
        <f t="shared" si="1"/>
        <v>✅ OK</v>
      </c>
      <c r="N122" s="3" t="str">
        <f t="shared" si="2"/>
        <v>OK</v>
      </c>
      <c r="O122" s="3" t="str">
        <f t="shared" si="3"/>
        <v>COMPLIANT</v>
      </c>
    </row>
    <row r="123">
      <c r="A123" s="1">
        <v>122.0</v>
      </c>
      <c r="B123" s="1" t="s">
        <v>366</v>
      </c>
      <c r="C123" s="1" t="s">
        <v>57</v>
      </c>
      <c r="D123" s="1" t="s">
        <v>79</v>
      </c>
      <c r="E123" s="1" t="s">
        <v>79</v>
      </c>
      <c r="F123" s="1" t="s">
        <v>367</v>
      </c>
      <c r="G123" s="1" t="b">
        <v>1</v>
      </c>
      <c r="I123" s="1" t="s">
        <v>35</v>
      </c>
      <c r="J123" s="1" t="b">
        <v>0</v>
      </c>
      <c r="K123" s="1" t="s">
        <v>368</v>
      </c>
      <c r="L123" s="1" t="s">
        <v>20</v>
      </c>
      <c r="M123" s="3" t="str">
        <f t="shared" si="1"/>
        <v>✅ OK</v>
      </c>
      <c r="N123" s="3" t="str">
        <f t="shared" si="2"/>
        <v>OK</v>
      </c>
      <c r="O123" s="3" t="str">
        <f t="shared" si="3"/>
        <v>COMPLIANT</v>
      </c>
    </row>
    <row r="124">
      <c r="A124" s="1">
        <v>123.0</v>
      </c>
      <c r="B124" s="1" t="s">
        <v>369</v>
      </c>
      <c r="C124" s="1" t="s">
        <v>26</v>
      </c>
      <c r="D124" s="1" t="s">
        <v>74</v>
      </c>
      <c r="E124" s="1" t="s">
        <v>74</v>
      </c>
      <c r="F124" s="1" t="s">
        <v>370</v>
      </c>
      <c r="G124" s="1" t="b">
        <v>1</v>
      </c>
      <c r="H124" s="1" t="s">
        <v>44</v>
      </c>
      <c r="I124" s="1" t="s">
        <v>17</v>
      </c>
      <c r="J124" s="1" t="b">
        <v>1</v>
      </c>
      <c r="K124" s="1" t="s">
        <v>371</v>
      </c>
      <c r="L124" s="1" t="s">
        <v>31</v>
      </c>
      <c r="M124" s="3" t="str">
        <f t="shared" si="1"/>
        <v>✅ OK</v>
      </c>
      <c r="N124" s="3" t="str">
        <f t="shared" si="2"/>
        <v>OK</v>
      </c>
      <c r="O124" s="3" t="str">
        <f t="shared" si="3"/>
        <v>COMPLIANT</v>
      </c>
    </row>
    <row r="125">
      <c r="A125" s="1">
        <v>124.0</v>
      </c>
      <c r="B125" s="1" t="s">
        <v>372</v>
      </c>
      <c r="C125" s="1" t="s">
        <v>16</v>
      </c>
      <c r="D125" s="1" t="s">
        <v>245</v>
      </c>
      <c r="E125" s="1" t="s">
        <v>74</v>
      </c>
      <c r="F125" s="1" t="s">
        <v>373</v>
      </c>
      <c r="G125" s="1" t="b">
        <v>0</v>
      </c>
      <c r="H125" s="1" t="s">
        <v>44</v>
      </c>
      <c r="I125" s="1" t="s">
        <v>24</v>
      </c>
      <c r="J125" s="1" t="b">
        <v>1</v>
      </c>
      <c r="K125" s="2">
        <v>45294.0</v>
      </c>
      <c r="L125" s="1" t="s">
        <v>20</v>
      </c>
      <c r="M125" s="3" t="str">
        <f t="shared" si="1"/>
        <v>✅ OK</v>
      </c>
      <c r="N125" s="3" t="str">
        <f t="shared" si="2"/>
        <v>🚩 FRAUD ALERT</v>
      </c>
      <c r="O125" s="3" t="str">
        <f t="shared" si="3"/>
        <v>CRITICAL</v>
      </c>
    </row>
    <row r="126">
      <c r="A126" s="1">
        <v>125.0</v>
      </c>
      <c r="B126" s="1" t="s">
        <v>374</v>
      </c>
      <c r="C126" s="1" t="s">
        <v>26</v>
      </c>
      <c r="D126" s="1" t="s">
        <v>79</v>
      </c>
      <c r="E126" s="1" t="s">
        <v>79</v>
      </c>
      <c r="F126" s="1" t="s">
        <v>375</v>
      </c>
      <c r="G126" s="1" t="b">
        <v>1</v>
      </c>
      <c r="I126" s="1" t="s">
        <v>35</v>
      </c>
      <c r="J126" s="1" t="b">
        <v>0</v>
      </c>
      <c r="K126" s="1" t="s">
        <v>376</v>
      </c>
      <c r="L126" s="1" t="s">
        <v>20</v>
      </c>
      <c r="M126" s="3" t="str">
        <f t="shared" si="1"/>
        <v>✅ OK</v>
      </c>
      <c r="N126" s="3" t="str">
        <f t="shared" si="2"/>
        <v>OK</v>
      </c>
      <c r="O126" s="3" t="str">
        <f t="shared" si="3"/>
        <v>COMPLIANT</v>
      </c>
    </row>
    <row r="127">
      <c r="A127" s="1">
        <v>126.0</v>
      </c>
      <c r="B127" s="1" t="s">
        <v>78</v>
      </c>
      <c r="C127" s="1" t="s">
        <v>16</v>
      </c>
      <c r="D127" s="1" t="s">
        <v>17</v>
      </c>
      <c r="E127" s="1" t="s">
        <v>17</v>
      </c>
      <c r="F127" s="1" t="s">
        <v>377</v>
      </c>
      <c r="G127" s="1" t="b">
        <v>1</v>
      </c>
      <c r="H127" s="1" t="s">
        <v>19</v>
      </c>
      <c r="I127" s="1" t="s">
        <v>35</v>
      </c>
      <c r="J127" s="1" t="b">
        <v>1</v>
      </c>
      <c r="K127" s="2">
        <v>44937.0</v>
      </c>
      <c r="L127" s="1" t="s">
        <v>20</v>
      </c>
      <c r="M127" s="3" t="str">
        <f t="shared" si="1"/>
        <v>✅ OK</v>
      </c>
      <c r="N127" s="3" t="str">
        <f t="shared" si="2"/>
        <v>OK</v>
      </c>
      <c r="O127" s="3" t="str">
        <f t="shared" si="3"/>
        <v>COMPLIANT</v>
      </c>
    </row>
    <row r="128">
      <c r="A128" s="1">
        <v>127.0</v>
      </c>
      <c r="B128" s="1" t="s">
        <v>378</v>
      </c>
      <c r="C128" s="1" t="s">
        <v>57</v>
      </c>
      <c r="D128" s="1" t="s">
        <v>79</v>
      </c>
      <c r="E128" s="1" t="s">
        <v>79</v>
      </c>
      <c r="F128" s="1" t="s">
        <v>379</v>
      </c>
      <c r="G128" s="1" t="b">
        <v>1</v>
      </c>
      <c r="H128" s="1" t="s">
        <v>44</v>
      </c>
      <c r="I128" s="1" t="s">
        <v>35</v>
      </c>
      <c r="J128" s="1" t="b">
        <v>1</v>
      </c>
      <c r="K128" s="1" t="s">
        <v>380</v>
      </c>
      <c r="L128" s="1" t="s">
        <v>20</v>
      </c>
      <c r="M128" s="3" t="str">
        <f t="shared" si="1"/>
        <v>✅ OK</v>
      </c>
      <c r="N128" s="3" t="str">
        <f t="shared" si="2"/>
        <v>OK</v>
      </c>
      <c r="O128" s="3" t="str">
        <f t="shared" si="3"/>
        <v>COMPLIANT</v>
      </c>
    </row>
    <row r="129">
      <c r="A129" s="1">
        <v>128.0</v>
      </c>
      <c r="B129" s="1" t="s">
        <v>381</v>
      </c>
      <c r="C129" s="1" t="s">
        <v>26</v>
      </c>
      <c r="D129" s="1" t="s">
        <v>173</v>
      </c>
      <c r="E129" s="1" t="s">
        <v>173</v>
      </c>
      <c r="F129" s="1" t="s">
        <v>382</v>
      </c>
      <c r="G129" s="1" t="b">
        <v>1</v>
      </c>
      <c r="H129" s="1" t="s">
        <v>19</v>
      </c>
      <c r="I129" s="1" t="s">
        <v>24</v>
      </c>
      <c r="J129" s="1" t="b">
        <v>1</v>
      </c>
      <c r="K129" s="1" t="s">
        <v>383</v>
      </c>
      <c r="L129" s="1" t="s">
        <v>31</v>
      </c>
      <c r="M129" s="3" t="str">
        <f t="shared" si="1"/>
        <v>✅ OK</v>
      </c>
      <c r="N129" s="3" t="str">
        <f t="shared" si="2"/>
        <v>OK</v>
      </c>
      <c r="O129" s="3" t="str">
        <f t="shared" si="3"/>
        <v>COMPLIANT</v>
      </c>
    </row>
    <row r="130">
      <c r="A130" s="1">
        <v>129.0</v>
      </c>
      <c r="B130" s="1" t="s">
        <v>384</v>
      </c>
      <c r="C130" s="1" t="s">
        <v>47</v>
      </c>
      <c r="D130" s="1" t="s">
        <v>151</v>
      </c>
      <c r="E130" s="1" t="s">
        <v>173</v>
      </c>
      <c r="F130" s="1" t="s">
        <v>385</v>
      </c>
      <c r="G130" s="1" t="b">
        <v>0</v>
      </c>
      <c r="H130" s="1" t="s">
        <v>29</v>
      </c>
      <c r="I130" s="1" t="s">
        <v>24</v>
      </c>
      <c r="J130" s="1" t="b">
        <v>0</v>
      </c>
      <c r="K130" s="1" t="s">
        <v>386</v>
      </c>
      <c r="L130" s="1" t="s">
        <v>20</v>
      </c>
      <c r="M130" s="3" t="str">
        <f t="shared" si="1"/>
        <v>✅ OK</v>
      </c>
      <c r="N130" s="3" t="str">
        <f t="shared" si="2"/>
        <v>🚩 FRAUD ALERT</v>
      </c>
      <c r="O130" s="3" t="str">
        <f t="shared" si="3"/>
        <v>CRITICAL</v>
      </c>
    </row>
    <row r="131">
      <c r="A131" s="1">
        <v>130.0</v>
      </c>
      <c r="B131" s="1" t="s">
        <v>387</v>
      </c>
      <c r="C131" s="1" t="s">
        <v>16</v>
      </c>
      <c r="D131" s="1" t="s">
        <v>42</v>
      </c>
      <c r="E131" s="1" t="s">
        <v>173</v>
      </c>
      <c r="F131" s="1" t="s">
        <v>388</v>
      </c>
      <c r="G131" s="1" t="b">
        <v>0</v>
      </c>
      <c r="H131" s="1" t="s">
        <v>29</v>
      </c>
      <c r="I131" s="1" t="s">
        <v>35</v>
      </c>
      <c r="J131" s="1" t="b">
        <v>0</v>
      </c>
      <c r="K131" s="1" t="s">
        <v>389</v>
      </c>
      <c r="L131" s="1" t="s">
        <v>20</v>
      </c>
      <c r="M131" s="3" t="str">
        <f t="shared" si="1"/>
        <v>✅ OK</v>
      </c>
      <c r="N131" s="3" t="str">
        <f t="shared" si="2"/>
        <v>🚩 FRAUD ALERT</v>
      </c>
      <c r="O131" s="3" t="str">
        <f t="shared" si="3"/>
        <v>CRITICAL</v>
      </c>
    </row>
    <row r="132">
      <c r="A132" s="1">
        <v>131.0</v>
      </c>
      <c r="B132" s="1" t="s">
        <v>390</v>
      </c>
      <c r="C132" s="1" t="s">
        <v>57</v>
      </c>
      <c r="D132" s="1" t="s">
        <v>79</v>
      </c>
      <c r="E132" s="1" t="s">
        <v>79</v>
      </c>
      <c r="F132" s="1" t="s">
        <v>391</v>
      </c>
      <c r="G132" s="1" t="b">
        <v>0</v>
      </c>
      <c r="H132" s="1" t="s">
        <v>44</v>
      </c>
      <c r="I132" s="1" t="s">
        <v>24</v>
      </c>
      <c r="J132" s="1" t="b">
        <v>0</v>
      </c>
      <c r="K132" s="1" t="s">
        <v>392</v>
      </c>
      <c r="L132" s="1" t="s">
        <v>20</v>
      </c>
      <c r="M132" s="3" t="str">
        <f t="shared" si="1"/>
        <v>✅ OK</v>
      </c>
      <c r="N132" s="3" t="str">
        <f t="shared" si="2"/>
        <v>OK</v>
      </c>
      <c r="O132" s="3" t="str">
        <f t="shared" si="3"/>
        <v>COMPLIANT</v>
      </c>
    </row>
    <row r="133">
      <c r="A133" s="1">
        <v>132.0</v>
      </c>
      <c r="B133" s="1" t="s">
        <v>393</v>
      </c>
      <c r="C133" s="1" t="s">
        <v>57</v>
      </c>
      <c r="D133" s="1" t="s">
        <v>144</v>
      </c>
      <c r="E133" s="1" t="s">
        <v>144</v>
      </c>
      <c r="F133" s="1" t="s">
        <v>394</v>
      </c>
      <c r="G133" s="1" t="b">
        <v>1</v>
      </c>
      <c r="H133" s="1" t="s">
        <v>44</v>
      </c>
      <c r="I133" s="1" t="s">
        <v>17</v>
      </c>
      <c r="J133" s="1" t="b">
        <v>1</v>
      </c>
      <c r="K133" s="1" t="s">
        <v>395</v>
      </c>
      <c r="L133" s="1" t="s">
        <v>20</v>
      </c>
      <c r="M133" s="3" t="str">
        <f t="shared" si="1"/>
        <v>✅ OK</v>
      </c>
      <c r="N133" s="3" t="str">
        <f t="shared" si="2"/>
        <v>OK</v>
      </c>
      <c r="O133" s="3" t="str">
        <f t="shared" si="3"/>
        <v>COMPLIANT</v>
      </c>
    </row>
    <row r="134">
      <c r="A134" s="1">
        <v>133.0</v>
      </c>
      <c r="B134" s="1" t="s">
        <v>396</v>
      </c>
      <c r="C134" s="1" t="s">
        <v>41</v>
      </c>
      <c r="D134" s="1" t="s">
        <v>42</v>
      </c>
      <c r="E134" s="1" t="s">
        <v>42</v>
      </c>
      <c r="F134" s="1" t="s">
        <v>397</v>
      </c>
      <c r="G134" s="1" t="b">
        <v>1</v>
      </c>
      <c r="I134" s="1" t="s">
        <v>35</v>
      </c>
      <c r="J134" s="1" t="b">
        <v>0</v>
      </c>
      <c r="K134" s="1" t="s">
        <v>398</v>
      </c>
      <c r="L134" s="1" t="s">
        <v>20</v>
      </c>
      <c r="M134" s="3" t="str">
        <f t="shared" si="1"/>
        <v>✅ OK</v>
      </c>
      <c r="N134" s="3" t="str">
        <f t="shared" si="2"/>
        <v>OK</v>
      </c>
      <c r="O134" s="3" t="str">
        <f t="shared" si="3"/>
        <v>COMPLIANT</v>
      </c>
    </row>
    <row r="135">
      <c r="A135" s="1">
        <v>134.0</v>
      </c>
      <c r="B135" s="1" t="s">
        <v>399</v>
      </c>
      <c r="C135" s="1" t="s">
        <v>26</v>
      </c>
      <c r="D135" s="1" t="s">
        <v>400</v>
      </c>
      <c r="E135" s="1" t="s">
        <v>400</v>
      </c>
      <c r="F135" s="1" t="s">
        <v>401</v>
      </c>
      <c r="G135" s="1" t="b">
        <v>0</v>
      </c>
      <c r="H135" s="1" t="s">
        <v>19</v>
      </c>
      <c r="I135" s="1" t="s">
        <v>17</v>
      </c>
      <c r="J135" s="1" t="b">
        <v>0</v>
      </c>
      <c r="K135" s="2">
        <v>45269.0</v>
      </c>
      <c r="L135" s="1" t="s">
        <v>31</v>
      </c>
      <c r="M135" s="3" t="str">
        <f t="shared" si="1"/>
        <v>✅ OK</v>
      </c>
      <c r="N135" s="3" t="str">
        <f t="shared" si="2"/>
        <v>OK</v>
      </c>
      <c r="O135" s="3" t="str">
        <f t="shared" si="3"/>
        <v>COMPLIANT</v>
      </c>
    </row>
    <row r="136">
      <c r="A136" s="1">
        <v>135.0</v>
      </c>
      <c r="B136" s="1" t="s">
        <v>320</v>
      </c>
      <c r="C136" s="1" t="s">
        <v>47</v>
      </c>
      <c r="D136" s="1" t="s">
        <v>66</v>
      </c>
      <c r="E136" s="1" t="s">
        <v>66</v>
      </c>
      <c r="F136" s="1" t="s">
        <v>402</v>
      </c>
      <c r="G136" s="1" t="b">
        <v>0</v>
      </c>
      <c r="H136" s="1" t="s">
        <v>29</v>
      </c>
      <c r="I136" s="1" t="s">
        <v>35</v>
      </c>
      <c r="J136" s="1" t="b">
        <v>0</v>
      </c>
      <c r="K136" s="1" t="s">
        <v>303</v>
      </c>
      <c r="L136" s="1" t="s">
        <v>31</v>
      </c>
      <c r="M136" s="3" t="str">
        <f t="shared" si="1"/>
        <v>✅ OK</v>
      </c>
      <c r="N136" s="3" t="str">
        <f t="shared" si="2"/>
        <v>OK</v>
      </c>
      <c r="O136" s="3" t="str">
        <f t="shared" si="3"/>
        <v>COMPLIANT</v>
      </c>
    </row>
    <row r="137">
      <c r="A137" s="1">
        <v>136.0</v>
      </c>
      <c r="B137" s="1" t="s">
        <v>403</v>
      </c>
      <c r="C137" s="1" t="s">
        <v>16</v>
      </c>
      <c r="D137" s="1" t="s">
        <v>69</v>
      </c>
      <c r="E137" s="1" t="s">
        <v>69</v>
      </c>
      <c r="F137" s="1" t="s">
        <v>404</v>
      </c>
      <c r="G137" s="1" t="b">
        <v>0</v>
      </c>
      <c r="H137" s="1" t="s">
        <v>29</v>
      </c>
      <c r="I137" s="1" t="s">
        <v>24</v>
      </c>
      <c r="J137" s="1" t="b">
        <v>0</v>
      </c>
      <c r="K137" s="2">
        <v>45514.0</v>
      </c>
      <c r="L137" s="1" t="s">
        <v>31</v>
      </c>
      <c r="M137" s="3" t="str">
        <f t="shared" si="1"/>
        <v>✅ OK</v>
      </c>
      <c r="N137" s="3" t="str">
        <f t="shared" si="2"/>
        <v>OK</v>
      </c>
      <c r="O137" s="3" t="str">
        <f t="shared" si="3"/>
        <v>COMPLIANT</v>
      </c>
    </row>
    <row r="138">
      <c r="A138" s="1">
        <v>137.0</v>
      </c>
      <c r="B138" s="1" t="s">
        <v>73</v>
      </c>
      <c r="C138" s="1" t="s">
        <v>47</v>
      </c>
      <c r="D138" s="1" t="s">
        <v>144</v>
      </c>
      <c r="E138" s="1" t="s">
        <v>144</v>
      </c>
      <c r="F138" s="1" t="s">
        <v>405</v>
      </c>
      <c r="G138" s="1" t="b">
        <v>0</v>
      </c>
      <c r="I138" s="1" t="s">
        <v>35</v>
      </c>
      <c r="J138" s="1" t="b">
        <v>0</v>
      </c>
      <c r="K138" s="2">
        <v>45870.0</v>
      </c>
      <c r="L138" s="1" t="s">
        <v>20</v>
      </c>
      <c r="M138" s="3" t="str">
        <f t="shared" si="1"/>
        <v>✅ OK</v>
      </c>
      <c r="N138" s="3" t="str">
        <f t="shared" si="2"/>
        <v>OK</v>
      </c>
      <c r="O138" s="3" t="str">
        <f t="shared" si="3"/>
        <v>COMPLIANT</v>
      </c>
    </row>
    <row r="139">
      <c r="A139" s="1">
        <v>138.0</v>
      </c>
      <c r="B139" s="1" t="s">
        <v>406</v>
      </c>
      <c r="C139" s="1" t="s">
        <v>57</v>
      </c>
      <c r="D139" s="1" t="s">
        <v>33</v>
      </c>
      <c r="E139" s="1" t="s">
        <v>33</v>
      </c>
      <c r="F139" s="1" t="s">
        <v>407</v>
      </c>
      <c r="G139" s="1" t="b">
        <v>1</v>
      </c>
      <c r="H139" s="1" t="s">
        <v>29</v>
      </c>
      <c r="I139" s="1" t="s">
        <v>35</v>
      </c>
      <c r="J139" s="1" t="b">
        <v>1</v>
      </c>
      <c r="K139" s="1" t="s">
        <v>408</v>
      </c>
      <c r="L139" s="1" t="s">
        <v>31</v>
      </c>
      <c r="M139" s="3" t="str">
        <f t="shared" si="1"/>
        <v>✅ OK</v>
      </c>
      <c r="N139" s="3" t="str">
        <f t="shared" si="2"/>
        <v>OK</v>
      </c>
      <c r="O139" s="3" t="str">
        <f t="shared" si="3"/>
        <v>COMPLIANT</v>
      </c>
    </row>
    <row r="140">
      <c r="A140" s="1">
        <v>139.0</v>
      </c>
      <c r="B140" s="1" t="s">
        <v>162</v>
      </c>
      <c r="C140" s="1" t="s">
        <v>47</v>
      </c>
      <c r="D140" s="1" t="s">
        <v>79</v>
      </c>
      <c r="E140" s="1" t="s">
        <v>79</v>
      </c>
      <c r="F140" s="1" t="s">
        <v>409</v>
      </c>
      <c r="G140" s="1" t="b">
        <v>0</v>
      </c>
      <c r="H140" s="1" t="s">
        <v>29</v>
      </c>
      <c r="I140" s="1" t="s">
        <v>17</v>
      </c>
      <c r="J140" s="1" t="b">
        <v>0</v>
      </c>
      <c r="K140" s="1" t="s">
        <v>410</v>
      </c>
      <c r="L140" s="1" t="s">
        <v>31</v>
      </c>
      <c r="M140" s="3" t="str">
        <f t="shared" si="1"/>
        <v>✅ OK</v>
      </c>
      <c r="N140" s="3" t="str">
        <f t="shared" si="2"/>
        <v>OK</v>
      </c>
      <c r="O140" s="3" t="str">
        <f t="shared" si="3"/>
        <v>COMPLIANT</v>
      </c>
    </row>
    <row r="141">
      <c r="A141" s="1">
        <v>140.0</v>
      </c>
      <c r="B141" s="1" t="s">
        <v>411</v>
      </c>
      <c r="C141" s="1" t="s">
        <v>16</v>
      </c>
      <c r="D141" s="1" t="s">
        <v>74</v>
      </c>
      <c r="E141" s="1" t="s">
        <v>74</v>
      </c>
      <c r="F141" s="1" t="s">
        <v>412</v>
      </c>
      <c r="G141" s="1" t="b">
        <v>1</v>
      </c>
      <c r="H141" s="1" t="s">
        <v>29</v>
      </c>
      <c r="I141" s="1" t="s">
        <v>35</v>
      </c>
      <c r="J141" s="1" t="b">
        <v>0</v>
      </c>
      <c r="K141" s="1" t="s">
        <v>413</v>
      </c>
      <c r="L141" s="1" t="s">
        <v>20</v>
      </c>
      <c r="M141" s="3" t="str">
        <f t="shared" si="1"/>
        <v>✅ OK</v>
      </c>
      <c r="N141" s="3" t="str">
        <f t="shared" si="2"/>
        <v>OK</v>
      </c>
      <c r="O141" s="3" t="str">
        <f t="shared" si="3"/>
        <v>COMPLIANT</v>
      </c>
    </row>
    <row r="142">
      <c r="A142" s="1">
        <v>141.0</v>
      </c>
      <c r="B142" s="1" t="s">
        <v>414</v>
      </c>
      <c r="C142" s="1" t="s">
        <v>41</v>
      </c>
      <c r="D142" s="1" t="s">
        <v>42</v>
      </c>
      <c r="E142" s="1" t="s">
        <v>42</v>
      </c>
      <c r="F142" s="1" t="s">
        <v>415</v>
      </c>
      <c r="G142" s="1" t="b">
        <v>1</v>
      </c>
      <c r="H142" s="1" t="s">
        <v>44</v>
      </c>
      <c r="I142" s="1" t="s">
        <v>17</v>
      </c>
      <c r="J142" s="1" t="b">
        <v>0</v>
      </c>
      <c r="K142" s="1" t="s">
        <v>416</v>
      </c>
      <c r="L142" s="1" t="s">
        <v>31</v>
      </c>
      <c r="M142" s="3" t="str">
        <f t="shared" si="1"/>
        <v>✅ OK</v>
      </c>
      <c r="N142" s="3" t="str">
        <f t="shared" si="2"/>
        <v>OK</v>
      </c>
      <c r="O142" s="3" t="str">
        <f t="shared" si="3"/>
        <v>COMPLIANT</v>
      </c>
    </row>
    <row r="143">
      <c r="A143" s="1">
        <v>142.0</v>
      </c>
      <c r="B143" s="1" t="s">
        <v>417</v>
      </c>
      <c r="C143" s="1" t="s">
        <v>16</v>
      </c>
      <c r="D143" s="1" t="s">
        <v>79</v>
      </c>
      <c r="E143" s="1" t="s">
        <v>79</v>
      </c>
      <c r="F143" s="1" t="s">
        <v>418</v>
      </c>
      <c r="G143" s="1" t="b">
        <v>1</v>
      </c>
      <c r="H143" s="1" t="s">
        <v>29</v>
      </c>
      <c r="I143" s="1" t="s">
        <v>24</v>
      </c>
      <c r="J143" s="1" t="b">
        <v>0</v>
      </c>
      <c r="K143" s="1" t="s">
        <v>419</v>
      </c>
      <c r="L143" s="1" t="s">
        <v>20</v>
      </c>
      <c r="M143" s="3" t="str">
        <f t="shared" si="1"/>
        <v>✅ OK</v>
      </c>
      <c r="N143" s="3" t="str">
        <f t="shared" si="2"/>
        <v>OK</v>
      </c>
      <c r="O143" s="3" t="str">
        <f t="shared" si="3"/>
        <v>COMPLIANT</v>
      </c>
    </row>
    <row r="144">
      <c r="A144" s="1">
        <v>143.0</v>
      </c>
      <c r="B144" s="1" t="s">
        <v>50</v>
      </c>
      <c r="C144" s="1" t="s">
        <v>16</v>
      </c>
      <c r="D144" s="1" t="s">
        <v>22</v>
      </c>
      <c r="E144" s="1" t="s">
        <v>22</v>
      </c>
      <c r="F144" s="1" t="s">
        <v>420</v>
      </c>
      <c r="G144" s="1" t="b">
        <v>0</v>
      </c>
      <c r="H144" s="1" t="s">
        <v>29</v>
      </c>
      <c r="I144" s="1" t="s">
        <v>35</v>
      </c>
      <c r="J144" s="1" t="b">
        <v>1</v>
      </c>
      <c r="K144" s="2">
        <v>45542.0</v>
      </c>
      <c r="L144" s="1" t="s">
        <v>31</v>
      </c>
      <c r="M144" s="3" t="str">
        <f t="shared" si="1"/>
        <v>✅ OK</v>
      </c>
      <c r="N144" s="3" t="str">
        <f t="shared" si="2"/>
        <v>OK</v>
      </c>
      <c r="O144" s="3" t="str">
        <f t="shared" si="3"/>
        <v>COMPLIANT</v>
      </c>
    </row>
    <row r="145">
      <c r="A145" s="1">
        <v>144.0</v>
      </c>
      <c r="B145" s="1" t="s">
        <v>299</v>
      </c>
      <c r="C145" s="1" t="s">
        <v>47</v>
      </c>
      <c r="D145" s="1" t="s">
        <v>173</v>
      </c>
      <c r="E145" s="1" t="s">
        <v>173</v>
      </c>
      <c r="F145" s="1" t="s">
        <v>421</v>
      </c>
      <c r="G145" s="1" t="b">
        <v>1</v>
      </c>
      <c r="H145" s="1" t="s">
        <v>29</v>
      </c>
      <c r="I145" s="1" t="s">
        <v>35</v>
      </c>
      <c r="J145" s="1" t="b">
        <v>1</v>
      </c>
      <c r="K145" s="1" t="s">
        <v>422</v>
      </c>
      <c r="L145" s="1" t="s">
        <v>20</v>
      </c>
      <c r="M145" s="3" t="str">
        <f t="shared" si="1"/>
        <v>✅ OK</v>
      </c>
      <c r="N145" s="3" t="str">
        <f t="shared" si="2"/>
        <v>OK</v>
      </c>
      <c r="O145" s="3" t="str">
        <f t="shared" si="3"/>
        <v>COMPLIANT</v>
      </c>
    </row>
    <row r="146">
      <c r="A146" s="1">
        <v>145.0</v>
      </c>
      <c r="B146" s="1" t="s">
        <v>423</v>
      </c>
      <c r="C146" s="1" t="s">
        <v>16</v>
      </c>
      <c r="D146" s="1" t="s">
        <v>144</v>
      </c>
      <c r="E146" s="1" t="s">
        <v>144</v>
      </c>
      <c r="F146" s="1" t="s">
        <v>424</v>
      </c>
      <c r="G146" s="1" t="b">
        <v>1</v>
      </c>
      <c r="H146" s="1" t="s">
        <v>29</v>
      </c>
      <c r="I146" s="1" t="s">
        <v>24</v>
      </c>
      <c r="J146" s="1" t="b">
        <v>1</v>
      </c>
      <c r="K146" s="1" t="s">
        <v>425</v>
      </c>
      <c r="L146" s="1" t="s">
        <v>31</v>
      </c>
      <c r="M146" s="3" t="str">
        <f t="shared" si="1"/>
        <v>✅ OK</v>
      </c>
      <c r="N146" s="3" t="str">
        <f t="shared" si="2"/>
        <v>OK</v>
      </c>
      <c r="O146" s="3" t="str">
        <f t="shared" si="3"/>
        <v>COMPLIANT</v>
      </c>
    </row>
    <row r="147">
      <c r="A147" s="1">
        <v>146.0</v>
      </c>
      <c r="B147" s="1" t="s">
        <v>78</v>
      </c>
      <c r="C147" s="1" t="s">
        <v>26</v>
      </c>
      <c r="D147" s="1" t="s">
        <v>79</v>
      </c>
      <c r="E147" s="1" t="s">
        <v>79</v>
      </c>
      <c r="F147" s="1" t="s">
        <v>426</v>
      </c>
      <c r="G147" s="1" t="b">
        <v>0</v>
      </c>
      <c r="I147" s="1" t="s">
        <v>17</v>
      </c>
      <c r="J147" s="1" t="b">
        <v>0</v>
      </c>
      <c r="K147" s="2">
        <v>45600.0</v>
      </c>
      <c r="L147" s="1" t="s">
        <v>31</v>
      </c>
      <c r="M147" s="3" t="str">
        <f t="shared" si="1"/>
        <v>✅ OK</v>
      </c>
      <c r="N147" s="3" t="str">
        <f t="shared" si="2"/>
        <v>OK</v>
      </c>
      <c r="O147" s="3" t="str">
        <f t="shared" si="3"/>
        <v>COMPLIANT</v>
      </c>
    </row>
    <row r="148">
      <c r="A148" s="1">
        <v>147.0</v>
      </c>
      <c r="B148" s="1" t="s">
        <v>427</v>
      </c>
      <c r="C148" s="1" t="s">
        <v>47</v>
      </c>
      <c r="D148" s="1" t="s">
        <v>54</v>
      </c>
      <c r="E148" s="1" t="s">
        <v>54</v>
      </c>
      <c r="F148" s="1" t="s">
        <v>428</v>
      </c>
      <c r="G148" s="1" t="b">
        <v>1</v>
      </c>
      <c r="H148" s="1" t="s">
        <v>29</v>
      </c>
      <c r="I148" s="1" t="s">
        <v>24</v>
      </c>
      <c r="J148" s="1" t="b">
        <v>1</v>
      </c>
      <c r="K148" s="1" t="s">
        <v>429</v>
      </c>
      <c r="L148" s="1" t="s">
        <v>31</v>
      </c>
      <c r="M148" s="3" t="str">
        <f t="shared" si="1"/>
        <v>✅ OK</v>
      </c>
      <c r="N148" s="3" t="str">
        <f t="shared" si="2"/>
        <v>OK</v>
      </c>
      <c r="O148" s="3" t="str">
        <f t="shared" si="3"/>
        <v>COMPLIANT</v>
      </c>
    </row>
    <row r="149">
      <c r="A149" s="1">
        <v>148.0</v>
      </c>
      <c r="B149" s="1" t="s">
        <v>430</v>
      </c>
      <c r="C149" s="1" t="s">
        <v>57</v>
      </c>
      <c r="D149" s="1" t="s">
        <v>431</v>
      </c>
      <c r="E149" s="1" t="s">
        <v>431</v>
      </c>
      <c r="F149" s="1" t="s">
        <v>432</v>
      </c>
      <c r="G149" s="1" t="b">
        <v>0</v>
      </c>
      <c r="I149" s="1" t="s">
        <v>17</v>
      </c>
      <c r="J149" s="1" t="b">
        <v>1</v>
      </c>
      <c r="K149" s="1" t="s">
        <v>433</v>
      </c>
      <c r="L149" s="1" t="s">
        <v>31</v>
      </c>
      <c r="M149" s="3" t="str">
        <f t="shared" si="1"/>
        <v>✅ OK</v>
      </c>
      <c r="N149" s="3" t="str">
        <f t="shared" si="2"/>
        <v>OK</v>
      </c>
      <c r="O149" s="3" t="str">
        <f t="shared" si="3"/>
        <v>COMPLIANT</v>
      </c>
    </row>
    <row r="150">
      <c r="A150" s="1">
        <v>149.0</v>
      </c>
      <c r="B150" s="1" t="s">
        <v>76</v>
      </c>
      <c r="C150" s="1" t="s">
        <v>47</v>
      </c>
      <c r="D150" s="1" t="s">
        <v>434</v>
      </c>
      <c r="E150" s="1" t="s">
        <v>431</v>
      </c>
      <c r="F150" s="1" t="s">
        <v>435</v>
      </c>
      <c r="G150" s="1" t="b">
        <v>1</v>
      </c>
      <c r="H150" s="1" t="s">
        <v>44</v>
      </c>
      <c r="I150" s="1" t="s">
        <v>17</v>
      </c>
      <c r="J150" s="1" t="b">
        <v>0</v>
      </c>
      <c r="K150" s="2">
        <v>45630.0</v>
      </c>
      <c r="L150" s="1" t="s">
        <v>31</v>
      </c>
      <c r="M150" s="3" t="str">
        <f t="shared" si="1"/>
        <v>✅ OK</v>
      </c>
      <c r="N150" s="3" t="str">
        <f t="shared" si="2"/>
        <v>🚩 FRAUD ALERT</v>
      </c>
      <c r="O150" s="3" t="str">
        <f t="shared" si="3"/>
        <v>CRITICAL</v>
      </c>
    </row>
    <row r="151">
      <c r="A151" s="1">
        <v>150.0</v>
      </c>
      <c r="B151" s="1" t="s">
        <v>32</v>
      </c>
      <c r="C151" s="1" t="s">
        <v>57</v>
      </c>
      <c r="D151" s="1" t="s">
        <v>74</v>
      </c>
      <c r="E151" s="1" t="s">
        <v>74</v>
      </c>
      <c r="F151" s="1" t="s">
        <v>436</v>
      </c>
      <c r="G151" s="1" t="b">
        <v>1</v>
      </c>
      <c r="H151" s="1" t="s">
        <v>29</v>
      </c>
      <c r="I151" s="1" t="s">
        <v>17</v>
      </c>
      <c r="J151" s="1" t="b">
        <v>0</v>
      </c>
      <c r="K151" s="2">
        <v>45935.0</v>
      </c>
      <c r="L151" s="1" t="s">
        <v>31</v>
      </c>
      <c r="M151" s="3" t="str">
        <f t="shared" si="1"/>
        <v>✅ OK</v>
      </c>
      <c r="N151" s="3" t="str">
        <f t="shared" si="2"/>
        <v>OK</v>
      </c>
      <c r="O151" s="3" t="str">
        <f t="shared" si="3"/>
        <v>COMPLIANT</v>
      </c>
    </row>
    <row r="152">
      <c r="A152" s="1">
        <v>151.0</v>
      </c>
      <c r="B152" s="1" t="s">
        <v>437</v>
      </c>
      <c r="C152" s="1" t="s">
        <v>47</v>
      </c>
      <c r="D152" s="1" t="s">
        <v>438</v>
      </c>
      <c r="E152" s="1" t="s">
        <v>431</v>
      </c>
      <c r="F152" s="1" t="s">
        <v>439</v>
      </c>
      <c r="G152" s="1" t="b">
        <v>0</v>
      </c>
      <c r="H152" s="1" t="s">
        <v>29</v>
      </c>
      <c r="I152" s="1" t="s">
        <v>24</v>
      </c>
      <c r="J152" s="1" t="b">
        <v>0</v>
      </c>
      <c r="K152" s="1" t="s">
        <v>112</v>
      </c>
      <c r="L152" s="1" t="s">
        <v>20</v>
      </c>
      <c r="M152" s="3" t="str">
        <f t="shared" si="1"/>
        <v>✅ OK</v>
      </c>
      <c r="N152" s="3" t="str">
        <f t="shared" si="2"/>
        <v>🚩 FRAUD ALERT</v>
      </c>
      <c r="O152" s="3" t="str">
        <f t="shared" si="3"/>
        <v>CRITICAL</v>
      </c>
    </row>
    <row r="153">
      <c r="A153" s="1">
        <v>152.0</v>
      </c>
      <c r="B153" s="1" t="s">
        <v>387</v>
      </c>
      <c r="C153" s="1" t="s">
        <v>57</v>
      </c>
      <c r="D153" s="1" t="s">
        <v>42</v>
      </c>
      <c r="E153" s="1" t="s">
        <v>42</v>
      </c>
      <c r="F153" s="1" t="s">
        <v>440</v>
      </c>
      <c r="G153" s="1" t="b">
        <v>1</v>
      </c>
      <c r="H153" s="1" t="s">
        <v>44</v>
      </c>
      <c r="I153" s="1" t="s">
        <v>24</v>
      </c>
      <c r="J153" s="1" t="b">
        <v>1</v>
      </c>
      <c r="K153" s="1" t="s">
        <v>441</v>
      </c>
      <c r="L153" s="1" t="s">
        <v>20</v>
      </c>
      <c r="M153" s="3" t="str">
        <f t="shared" si="1"/>
        <v>✅ OK</v>
      </c>
      <c r="N153" s="3" t="str">
        <f t="shared" si="2"/>
        <v>OK</v>
      </c>
      <c r="O153" s="3" t="str">
        <f t="shared" si="3"/>
        <v>COMPLIANT</v>
      </c>
    </row>
    <row r="154">
      <c r="A154" s="1">
        <v>153.0</v>
      </c>
      <c r="B154" s="1" t="s">
        <v>442</v>
      </c>
      <c r="C154" s="1" t="s">
        <v>41</v>
      </c>
      <c r="D154" s="1" t="s">
        <v>42</v>
      </c>
      <c r="E154" s="1" t="s">
        <v>42</v>
      </c>
      <c r="F154" s="1" t="s">
        <v>443</v>
      </c>
      <c r="G154" s="1" t="b">
        <v>0</v>
      </c>
      <c r="H154" s="1" t="s">
        <v>44</v>
      </c>
      <c r="I154" s="1" t="s">
        <v>35</v>
      </c>
      <c r="J154" s="1" t="b">
        <v>0</v>
      </c>
      <c r="K154" s="1" t="s">
        <v>264</v>
      </c>
      <c r="L154" s="1" t="s">
        <v>20</v>
      </c>
      <c r="M154" s="3" t="str">
        <f t="shared" si="1"/>
        <v>✅ OK</v>
      </c>
      <c r="N154" s="3" t="str">
        <f t="shared" si="2"/>
        <v>OK</v>
      </c>
      <c r="O154" s="3" t="str">
        <f t="shared" si="3"/>
        <v>COMPLIANT</v>
      </c>
    </row>
    <row r="155">
      <c r="A155" s="1">
        <v>154.0</v>
      </c>
      <c r="B155" s="1" t="s">
        <v>125</v>
      </c>
      <c r="C155" s="1" t="s">
        <v>16</v>
      </c>
      <c r="D155" s="1" t="s">
        <v>151</v>
      </c>
      <c r="E155" s="1" t="s">
        <v>151</v>
      </c>
      <c r="F155" s="1" t="s">
        <v>444</v>
      </c>
      <c r="G155" s="1" t="b">
        <v>0</v>
      </c>
      <c r="H155" s="1" t="s">
        <v>29</v>
      </c>
      <c r="I155" s="1" t="s">
        <v>17</v>
      </c>
      <c r="J155" s="1" t="b">
        <v>1</v>
      </c>
      <c r="K155" s="2">
        <v>45302.0</v>
      </c>
      <c r="L155" s="1" t="s">
        <v>31</v>
      </c>
      <c r="M155" s="3" t="str">
        <f t="shared" si="1"/>
        <v>✅ OK</v>
      </c>
      <c r="N155" s="3" t="str">
        <f t="shared" si="2"/>
        <v>OK</v>
      </c>
      <c r="O155" s="3" t="str">
        <f t="shared" si="3"/>
        <v>COMPLIANT</v>
      </c>
    </row>
    <row r="156">
      <c r="A156" s="1">
        <v>155.0</v>
      </c>
      <c r="B156" s="1" t="s">
        <v>445</v>
      </c>
      <c r="C156" s="1" t="s">
        <v>26</v>
      </c>
      <c r="D156" s="1" t="s">
        <v>446</v>
      </c>
      <c r="E156" s="1" t="s">
        <v>446</v>
      </c>
      <c r="F156" s="1" t="s">
        <v>447</v>
      </c>
      <c r="G156" s="1" t="b">
        <v>0</v>
      </c>
      <c r="H156" s="1" t="s">
        <v>29</v>
      </c>
      <c r="I156" s="1" t="s">
        <v>24</v>
      </c>
      <c r="J156" s="1" t="b">
        <v>1</v>
      </c>
      <c r="K156" s="1" t="s">
        <v>195</v>
      </c>
      <c r="L156" s="1" t="s">
        <v>20</v>
      </c>
      <c r="M156" s="3" t="str">
        <f t="shared" si="1"/>
        <v>✅ OK</v>
      </c>
      <c r="N156" s="3" t="str">
        <f t="shared" si="2"/>
        <v>OK</v>
      </c>
      <c r="O156" s="3" t="str">
        <f t="shared" si="3"/>
        <v>COMPLIANT</v>
      </c>
    </row>
    <row r="157">
      <c r="A157" s="1">
        <v>156.0</v>
      </c>
      <c r="B157" s="1" t="s">
        <v>301</v>
      </c>
      <c r="C157" s="1" t="s">
        <v>57</v>
      </c>
      <c r="D157" s="1" t="s">
        <v>254</v>
      </c>
      <c r="E157" s="1" t="s">
        <v>254</v>
      </c>
      <c r="F157" s="1" t="s">
        <v>448</v>
      </c>
      <c r="G157" s="1" t="b">
        <v>1</v>
      </c>
      <c r="H157" s="1" t="s">
        <v>44</v>
      </c>
      <c r="I157" s="1" t="s">
        <v>35</v>
      </c>
      <c r="J157" s="1" t="b">
        <v>1</v>
      </c>
      <c r="K157" s="1" t="s">
        <v>449</v>
      </c>
      <c r="L157" s="1" t="s">
        <v>20</v>
      </c>
      <c r="M157" s="3" t="str">
        <f t="shared" si="1"/>
        <v>✅ OK</v>
      </c>
      <c r="N157" s="3" t="str">
        <f t="shared" si="2"/>
        <v>OK</v>
      </c>
      <c r="O157" s="3" t="str">
        <f t="shared" si="3"/>
        <v>COMPLIANT</v>
      </c>
    </row>
    <row r="158">
      <c r="A158" s="1">
        <v>157.0</v>
      </c>
      <c r="B158" s="1" t="s">
        <v>450</v>
      </c>
      <c r="C158" s="1" t="s">
        <v>47</v>
      </c>
      <c r="D158" s="1" t="s">
        <v>155</v>
      </c>
      <c r="E158" s="1" t="s">
        <v>155</v>
      </c>
      <c r="F158" s="1" t="s">
        <v>451</v>
      </c>
      <c r="G158" s="1" t="b">
        <v>0</v>
      </c>
      <c r="H158" s="1" t="s">
        <v>29</v>
      </c>
      <c r="I158" s="1" t="s">
        <v>17</v>
      </c>
      <c r="J158" s="1" t="b">
        <v>1</v>
      </c>
      <c r="K158" s="1" t="s">
        <v>452</v>
      </c>
      <c r="L158" s="1" t="s">
        <v>20</v>
      </c>
      <c r="M158" s="3" t="str">
        <f t="shared" si="1"/>
        <v>✅ OK</v>
      </c>
      <c r="N158" s="3" t="str">
        <f t="shared" si="2"/>
        <v>OK</v>
      </c>
      <c r="O158" s="3" t="str">
        <f t="shared" si="3"/>
        <v>COMPLIANT</v>
      </c>
    </row>
    <row r="159">
      <c r="A159" s="1">
        <v>158.0</v>
      </c>
      <c r="B159" s="1" t="s">
        <v>453</v>
      </c>
      <c r="C159" s="1" t="s">
        <v>26</v>
      </c>
      <c r="D159" s="1" t="s">
        <v>151</v>
      </c>
      <c r="E159" s="1" t="s">
        <v>151</v>
      </c>
      <c r="F159" s="1" t="s">
        <v>454</v>
      </c>
      <c r="G159" s="1" t="b">
        <v>0</v>
      </c>
      <c r="H159" s="1" t="s">
        <v>29</v>
      </c>
      <c r="I159" s="1" t="s">
        <v>24</v>
      </c>
      <c r="J159" s="1" t="b">
        <v>1</v>
      </c>
      <c r="K159" s="2">
        <v>45147.0</v>
      </c>
      <c r="L159" s="1" t="s">
        <v>31</v>
      </c>
      <c r="M159" s="3" t="str">
        <f t="shared" si="1"/>
        <v>✅ OK</v>
      </c>
      <c r="N159" s="3" t="str">
        <f t="shared" si="2"/>
        <v>OK</v>
      </c>
      <c r="O159" s="3" t="str">
        <f t="shared" si="3"/>
        <v>COMPLIANT</v>
      </c>
    </row>
    <row r="160">
      <c r="A160" s="1">
        <v>159.0</v>
      </c>
      <c r="B160" s="1" t="s">
        <v>455</v>
      </c>
      <c r="C160" s="1" t="s">
        <v>47</v>
      </c>
      <c r="D160" s="1" t="s">
        <v>79</v>
      </c>
      <c r="E160" s="1" t="s">
        <v>79</v>
      </c>
      <c r="F160" s="1" t="s">
        <v>456</v>
      </c>
      <c r="G160" s="1" t="b">
        <v>0</v>
      </c>
      <c r="I160" s="1" t="s">
        <v>35</v>
      </c>
      <c r="J160" s="1" t="b">
        <v>0</v>
      </c>
      <c r="K160" s="2">
        <v>45385.0</v>
      </c>
      <c r="L160" s="1" t="s">
        <v>20</v>
      </c>
      <c r="M160" s="3" t="str">
        <f t="shared" si="1"/>
        <v>✅ OK</v>
      </c>
      <c r="N160" s="3" t="str">
        <f t="shared" si="2"/>
        <v>OK</v>
      </c>
      <c r="O160" s="3" t="str">
        <f t="shared" si="3"/>
        <v>COMPLIANT</v>
      </c>
    </row>
    <row r="161">
      <c r="A161" s="1">
        <v>160.0</v>
      </c>
      <c r="B161" s="1" t="s">
        <v>381</v>
      </c>
      <c r="C161" s="1" t="s">
        <v>47</v>
      </c>
      <c r="D161" s="1" t="s">
        <v>173</v>
      </c>
      <c r="E161" s="1" t="s">
        <v>173</v>
      </c>
      <c r="F161" s="1" t="s">
        <v>457</v>
      </c>
      <c r="G161" s="1" t="b">
        <v>0</v>
      </c>
      <c r="H161" s="1" t="s">
        <v>44</v>
      </c>
      <c r="I161" s="1" t="s">
        <v>17</v>
      </c>
      <c r="J161" s="1" t="b">
        <v>1</v>
      </c>
      <c r="K161" s="2">
        <v>45514.0</v>
      </c>
      <c r="L161" s="1" t="s">
        <v>20</v>
      </c>
      <c r="M161" s="3" t="str">
        <f t="shared" si="1"/>
        <v>✅ OK</v>
      </c>
      <c r="N161" s="3" t="str">
        <f t="shared" si="2"/>
        <v>OK</v>
      </c>
      <c r="O161" s="3" t="str">
        <f t="shared" si="3"/>
        <v>COMPLIANT</v>
      </c>
    </row>
    <row r="162">
      <c r="A162" s="1">
        <v>161.0</v>
      </c>
      <c r="B162" s="1" t="s">
        <v>65</v>
      </c>
      <c r="C162" s="1" t="s">
        <v>16</v>
      </c>
      <c r="D162" s="1" t="s">
        <v>42</v>
      </c>
      <c r="E162" s="1" t="s">
        <v>42</v>
      </c>
      <c r="F162" s="1" t="s">
        <v>458</v>
      </c>
      <c r="G162" s="1" t="b">
        <v>1</v>
      </c>
      <c r="H162" s="1" t="s">
        <v>29</v>
      </c>
      <c r="I162" s="1" t="s">
        <v>35</v>
      </c>
      <c r="J162" s="1" t="b">
        <v>0</v>
      </c>
      <c r="K162" s="2">
        <v>45361.0</v>
      </c>
      <c r="L162" s="1" t="s">
        <v>31</v>
      </c>
      <c r="M162" s="3" t="str">
        <f t="shared" si="1"/>
        <v>✅ OK</v>
      </c>
      <c r="N162" s="3" t="str">
        <f t="shared" si="2"/>
        <v>OK</v>
      </c>
      <c r="O162" s="3" t="str">
        <f t="shared" si="3"/>
        <v>COMPLIANT</v>
      </c>
    </row>
    <row r="163">
      <c r="A163" s="1">
        <v>162.0</v>
      </c>
      <c r="B163" s="1" t="s">
        <v>459</v>
      </c>
      <c r="C163" s="1" t="s">
        <v>57</v>
      </c>
      <c r="D163" s="1" t="s">
        <v>289</v>
      </c>
      <c r="E163" s="1" t="s">
        <v>289</v>
      </c>
      <c r="F163" s="1" t="s">
        <v>460</v>
      </c>
      <c r="G163" s="1" t="b">
        <v>0</v>
      </c>
      <c r="H163" s="1" t="s">
        <v>44</v>
      </c>
      <c r="I163" s="1" t="s">
        <v>24</v>
      </c>
      <c r="J163" s="1" t="b">
        <v>1</v>
      </c>
      <c r="K163" s="2">
        <v>45080.0</v>
      </c>
      <c r="L163" s="1" t="s">
        <v>20</v>
      </c>
      <c r="M163" s="3" t="str">
        <f t="shared" si="1"/>
        <v>✅ OK</v>
      </c>
      <c r="N163" s="3" t="str">
        <f t="shared" si="2"/>
        <v>OK</v>
      </c>
      <c r="O163" s="3" t="str">
        <f t="shared" si="3"/>
        <v>COMPLIANT</v>
      </c>
    </row>
    <row r="164">
      <c r="A164" s="1">
        <v>163.0</v>
      </c>
      <c r="B164" s="1" t="s">
        <v>461</v>
      </c>
      <c r="C164" s="1" t="s">
        <v>26</v>
      </c>
      <c r="D164" s="1" t="s">
        <v>79</v>
      </c>
      <c r="E164" s="1" t="s">
        <v>79</v>
      </c>
      <c r="F164" s="1" t="s">
        <v>462</v>
      </c>
      <c r="G164" s="1" t="b">
        <v>0</v>
      </c>
      <c r="H164" s="1" t="s">
        <v>44</v>
      </c>
      <c r="I164" s="1" t="s">
        <v>17</v>
      </c>
      <c r="J164" s="1" t="b">
        <v>1</v>
      </c>
      <c r="K164" s="1" t="s">
        <v>463</v>
      </c>
      <c r="L164" s="1" t="s">
        <v>31</v>
      </c>
      <c r="M164" s="3" t="str">
        <f t="shared" si="1"/>
        <v>✅ OK</v>
      </c>
      <c r="N164" s="3" t="str">
        <f t="shared" si="2"/>
        <v>OK</v>
      </c>
      <c r="O164" s="3" t="str">
        <f t="shared" si="3"/>
        <v>COMPLIANT</v>
      </c>
    </row>
    <row r="165">
      <c r="A165" s="1">
        <v>164.0</v>
      </c>
      <c r="B165" s="1" t="s">
        <v>464</v>
      </c>
      <c r="C165" s="1" t="s">
        <v>47</v>
      </c>
      <c r="D165" s="1" t="s">
        <v>173</v>
      </c>
      <c r="E165" s="1" t="s">
        <v>173</v>
      </c>
      <c r="F165" s="1" t="s">
        <v>465</v>
      </c>
      <c r="G165" s="1" t="b">
        <v>1</v>
      </c>
      <c r="H165" s="1" t="s">
        <v>19</v>
      </c>
      <c r="I165" s="1" t="s">
        <v>24</v>
      </c>
      <c r="J165" s="1" t="b">
        <v>1</v>
      </c>
      <c r="K165" s="1" t="s">
        <v>466</v>
      </c>
      <c r="L165" s="1" t="s">
        <v>31</v>
      </c>
      <c r="M165" s="3" t="str">
        <f t="shared" si="1"/>
        <v>✅ OK</v>
      </c>
      <c r="N165" s="3" t="str">
        <f t="shared" si="2"/>
        <v>OK</v>
      </c>
      <c r="O165" s="3" t="str">
        <f t="shared" si="3"/>
        <v>COMPLIANT</v>
      </c>
    </row>
    <row r="166">
      <c r="A166" s="1">
        <v>165.0</v>
      </c>
      <c r="B166" s="1" t="s">
        <v>467</v>
      </c>
      <c r="C166" s="1" t="s">
        <v>26</v>
      </c>
      <c r="D166" s="1" t="s">
        <v>431</v>
      </c>
      <c r="E166" s="1" t="s">
        <v>431</v>
      </c>
      <c r="F166" s="1" t="s">
        <v>468</v>
      </c>
      <c r="G166" s="1" t="b">
        <v>0</v>
      </c>
      <c r="H166" s="1" t="s">
        <v>29</v>
      </c>
      <c r="I166" s="1" t="s">
        <v>24</v>
      </c>
      <c r="J166" s="1" t="b">
        <v>1</v>
      </c>
      <c r="K166" s="2">
        <v>44990.0</v>
      </c>
      <c r="L166" s="1" t="s">
        <v>20</v>
      </c>
      <c r="M166" s="3" t="str">
        <f t="shared" si="1"/>
        <v>✅ OK</v>
      </c>
      <c r="N166" s="3" t="str">
        <f t="shared" si="2"/>
        <v>OK</v>
      </c>
      <c r="O166" s="3" t="str">
        <f t="shared" si="3"/>
        <v>COMPLIANT</v>
      </c>
    </row>
    <row r="167">
      <c r="A167" s="1">
        <v>166.0</v>
      </c>
      <c r="B167" s="1" t="s">
        <v>167</v>
      </c>
      <c r="C167" s="1" t="s">
        <v>57</v>
      </c>
      <c r="D167" s="1" t="s">
        <v>42</v>
      </c>
      <c r="E167" s="1" t="s">
        <v>42</v>
      </c>
      <c r="F167" s="1" t="s">
        <v>469</v>
      </c>
      <c r="G167" s="1" t="b">
        <v>0</v>
      </c>
      <c r="H167" s="1" t="s">
        <v>44</v>
      </c>
      <c r="I167" s="1" t="s">
        <v>17</v>
      </c>
      <c r="J167" s="1" t="b">
        <v>0</v>
      </c>
      <c r="K167" s="2">
        <v>45271.0</v>
      </c>
      <c r="L167" s="1" t="s">
        <v>31</v>
      </c>
      <c r="M167" s="3" t="str">
        <f t="shared" si="1"/>
        <v>✅ OK</v>
      </c>
      <c r="N167" s="3" t="str">
        <f t="shared" si="2"/>
        <v>OK</v>
      </c>
      <c r="O167" s="3" t="str">
        <f t="shared" si="3"/>
        <v>COMPLIANT</v>
      </c>
    </row>
    <row r="168">
      <c r="A168" s="1">
        <v>167.0</v>
      </c>
      <c r="B168" s="1" t="s">
        <v>459</v>
      </c>
      <c r="C168" s="1" t="s">
        <v>26</v>
      </c>
      <c r="D168" s="1" t="s">
        <v>315</v>
      </c>
      <c r="E168" s="1" t="s">
        <v>315</v>
      </c>
      <c r="F168" s="1" t="s">
        <v>470</v>
      </c>
      <c r="G168" s="1" t="b">
        <v>1</v>
      </c>
      <c r="H168" s="1" t="s">
        <v>19</v>
      </c>
      <c r="I168" s="1" t="s">
        <v>17</v>
      </c>
      <c r="J168" s="1" t="b">
        <v>0</v>
      </c>
      <c r="K168" s="1" t="s">
        <v>471</v>
      </c>
      <c r="L168" s="1" t="s">
        <v>20</v>
      </c>
      <c r="M168" s="3" t="str">
        <f t="shared" si="1"/>
        <v>✅ OK</v>
      </c>
      <c r="N168" s="3" t="str">
        <f t="shared" si="2"/>
        <v>OK</v>
      </c>
      <c r="O168" s="3" t="str">
        <f t="shared" si="3"/>
        <v>COMPLIANT</v>
      </c>
    </row>
    <row r="169">
      <c r="A169" s="1">
        <v>168.0</v>
      </c>
      <c r="B169" s="1" t="s">
        <v>472</v>
      </c>
      <c r="C169" s="1" t="s">
        <v>47</v>
      </c>
      <c r="D169" s="1" t="s">
        <v>42</v>
      </c>
      <c r="E169" s="1" t="s">
        <v>42</v>
      </c>
      <c r="F169" s="1" t="s">
        <v>473</v>
      </c>
      <c r="G169" s="1" t="b">
        <v>0</v>
      </c>
      <c r="H169" s="1" t="s">
        <v>44</v>
      </c>
      <c r="I169" s="1" t="s">
        <v>17</v>
      </c>
      <c r="J169" s="1" t="b">
        <v>1</v>
      </c>
      <c r="K169" s="2">
        <v>44959.0</v>
      </c>
      <c r="L169" s="1" t="s">
        <v>20</v>
      </c>
      <c r="M169" s="3" t="str">
        <f t="shared" si="1"/>
        <v>✅ OK</v>
      </c>
      <c r="N169" s="3" t="str">
        <f t="shared" si="2"/>
        <v>OK</v>
      </c>
      <c r="O169" s="3" t="str">
        <f t="shared" si="3"/>
        <v>COMPLIANT</v>
      </c>
    </row>
    <row r="170">
      <c r="A170" s="1">
        <v>169.0</v>
      </c>
      <c r="B170" s="1" t="s">
        <v>46</v>
      </c>
      <c r="C170" s="1" t="s">
        <v>57</v>
      </c>
      <c r="D170" s="1" t="s">
        <v>79</v>
      </c>
      <c r="E170" s="1" t="s">
        <v>79</v>
      </c>
      <c r="F170" s="1" t="s">
        <v>474</v>
      </c>
      <c r="G170" s="1" t="b">
        <v>0</v>
      </c>
      <c r="H170" s="1" t="s">
        <v>19</v>
      </c>
      <c r="I170" s="1" t="s">
        <v>17</v>
      </c>
      <c r="J170" s="1" t="b">
        <v>1</v>
      </c>
      <c r="K170" s="1" t="s">
        <v>452</v>
      </c>
      <c r="L170" s="1" t="s">
        <v>20</v>
      </c>
      <c r="M170" s="3" t="str">
        <f t="shared" si="1"/>
        <v>✅ OK</v>
      </c>
      <c r="N170" s="3" t="str">
        <f t="shared" si="2"/>
        <v>OK</v>
      </c>
      <c r="O170" s="3" t="str">
        <f t="shared" si="3"/>
        <v>COMPLIANT</v>
      </c>
    </row>
    <row r="171">
      <c r="A171" s="1">
        <v>170.0</v>
      </c>
      <c r="B171" s="1" t="s">
        <v>393</v>
      </c>
      <c r="C171" s="1" t="s">
        <v>57</v>
      </c>
      <c r="D171" s="1" t="s">
        <v>42</v>
      </c>
      <c r="E171" s="1" t="s">
        <v>42</v>
      </c>
      <c r="F171" s="1" t="s">
        <v>475</v>
      </c>
      <c r="G171" s="1" t="b">
        <v>0</v>
      </c>
      <c r="H171" s="1" t="s">
        <v>19</v>
      </c>
      <c r="I171" s="1" t="s">
        <v>17</v>
      </c>
      <c r="J171" s="1" t="b">
        <v>0</v>
      </c>
      <c r="K171" s="2">
        <v>45750.0</v>
      </c>
      <c r="L171" s="1" t="s">
        <v>31</v>
      </c>
      <c r="M171" s="3" t="str">
        <f t="shared" si="1"/>
        <v>✅ OK</v>
      </c>
      <c r="N171" s="3" t="str">
        <f t="shared" si="2"/>
        <v>OK</v>
      </c>
      <c r="O171" s="3" t="str">
        <f t="shared" si="3"/>
        <v>COMPLIANT</v>
      </c>
    </row>
    <row r="172">
      <c r="A172" s="1">
        <v>171.0</v>
      </c>
      <c r="B172" s="1" t="s">
        <v>476</v>
      </c>
      <c r="C172" s="1" t="s">
        <v>57</v>
      </c>
      <c r="D172" s="1" t="s">
        <v>141</v>
      </c>
      <c r="E172" s="1" t="s">
        <v>141</v>
      </c>
      <c r="F172" s="1" t="s">
        <v>477</v>
      </c>
      <c r="G172" s="1" t="b">
        <v>1</v>
      </c>
      <c r="H172" s="1" t="s">
        <v>19</v>
      </c>
      <c r="I172" s="1" t="s">
        <v>35</v>
      </c>
      <c r="J172" s="1" t="b">
        <v>0</v>
      </c>
      <c r="K172" s="1" t="s">
        <v>478</v>
      </c>
      <c r="L172" s="1" t="s">
        <v>31</v>
      </c>
      <c r="M172" s="3" t="str">
        <f t="shared" si="1"/>
        <v>✅ OK</v>
      </c>
      <c r="N172" s="3" t="str">
        <f t="shared" si="2"/>
        <v>OK</v>
      </c>
      <c r="O172" s="3" t="str">
        <f t="shared" si="3"/>
        <v>COMPLIANT</v>
      </c>
    </row>
    <row r="173">
      <c r="A173" s="1">
        <v>172.0</v>
      </c>
      <c r="B173" s="1" t="s">
        <v>479</v>
      </c>
      <c r="C173" s="1" t="s">
        <v>57</v>
      </c>
      <c r="D173" s="1" t="s">
        <v>74</v>
      </c>
      <c r="E173" s="1" t="s">
        <v>74</v>
      </c>
      <c r="F173" s="1" t="s">
        <v>480</v>
      </c>
      <c r="G173" s="1" t="b">
        <v>1</v>
      </c>
      <c r="I173" s="1" t="s">
        <v>24</v>
      </c>
      <c r="J173" s="1" t="b">
        <v>1</v>
      </c>
      <c r="K173" s="1" t="s">
        <v>481</v>
      </c>
      <c r="L173" s="1" t="s">
        <v>20</v>
      </c>
      <c r="M173" s="3" t="str">
        <f t="shared" si="1"/>
        <v>✅ OK</v>
      </c>
      <c r="N173" s="3" t="str">
        <f t="shared" si="2"/>
        <v>OK</v>
      </c>
      <c r="O173" s="3" t="str">
        <f t="shared" si="3"/>
        <v>COMPLIANT</v>
      </c>
    </row>
    <row r="174">
      <c r="A174" s="1">
        <v>173.0</v>
      </c>
      <c r="B174" s="1" t="s">
        <v>482</v>
      </c>
      <c r="C174" s="1" t="s">
        <v>47</v>
      </c>
      <c r="D174" s="1" t="s">
        <v>197</v>
      </c>
      <c r="E174" s="1" t="s">
        <v>197</v>
      </c>
      <c r="F174" s="1" t="s">
        <v>483</v>
      </c>
      <c r="G174" s="1" t="b">
        <v>1</v>
      </c>
      <c r="H174" s="1" t="s">
        <v>29</v>
      </c>
      <c r="I174" s="1" t="s">
        <v>24</v>
      </c>
      <c r="J174" s="1" t="b">
        <v>1</v>
      </c>
      <c r="K174" s="2">
        <v>45140.0</v>
      </c>
      <c r="L174" s="1" t="s">
        <v>31</v>
      </c>
      <c r="M174" s="3" t="str">
        <f t="shared" si="1"/>
        <v>✅ OK</v>
      </c>
      <c r="N174" s="3" t="str">
        <f t="shared" si="2"/>
        <v>OK</v>
      </c>
      <c r="O174" s="3" t="str">
        <f t="shared" si="3"/>
        <v>COMPLIANT</v>
      </c>
    </row>
    <row r="175">
      <c r="A175" s="1">
        <v>174.0</v>
      </c>
      <c r="B175" s="1" t="s">
        <v>484</v>
      </c>
      <c r="C175" s="1" t="s">
        <v>47</v>
      </c>
      <c r="D175" s="1" t="s">
        <v>144</v>
      </c>
      <c r="E175" s="1" t="s">
        <v>485</v>
      </c>
      <c r="F175" s="1" t="s">
        <v>486</v>
      </c>
      <c r="G175" s="1" t="b">
        <v>0</v>
      </c>
      <c r="I175" s="1" t="s">
        <v>24</v>
      </c>
      <c r="J175" s="1" t="b">
        <v>0</v>
      </c>
      <c r="K175" s="1" t="s">
        <v>487</v>
      </c>
      <c r="L175" s="1" t="s">
        <v>20</v>
      </c>
      <c r="M175" s="3" t="str">
        <f t="shared" si="1"/>
        <v>✅ OK</v>
      </c>
      <c r="N175" s="3" t="str">
        <f t="shared" si="2"/>
        <v>🚩 FRAUD ALERT</v>
      </c>
      <c r="O175" s="3" t="str">
        <f t="shared" si="3"/>
        <v>CRITICAL</v>
      </c>
    </row>
    <row r="176">
      <c r="A176" s="1">
        <v>175.0</v>
      </c>
      <c r="B176" s="1" t="s">
        <v>488</v>
      </c>
      <c r="C176" s="1" t="s">
        <v>41</v>
      </c>
      <c r="D176" s="1" t="s">
        <v>126</v>
      </c>
      <c r="E176" s="1" t="s">
        <v>126</v>
      </c>
      <c r="F176" s="1" t="s">
        <v>489</v>
      </c>
      <c r="G176" s="1" t="b">
        <v>0</v>
      </c>
      <c r="H176" s="1" t="s">
        <v>29</v>
      </c>
      <c r="I176" s="1" t="s">
        <v>17</v>
      </c>
      <c r="J176" s="1" t="b">
        <v>1</v>
      </c>
      <c r="K176" s="1" t="s">
        <v>235</v>
      </c>
      <c r="L176" s="1" t="s">
        <v>31</v>
      </c>
      <c r="M176" s="3" t="str">
        <f t="shared" si="1"/>
        <v>✅ OK</v>
      </c>
      <c r="N176" s="3" t="str">
        <f t="shared" si="2"/>
        <v>OK</v>
      </c>
      <c r="O176" s="3" t="str">
        <f t="shared" si="3"/>
        <v>COMPLIANT</v>
      </c>
    </row>
    <row r="177">
      <c r="A177" s="1">
        <v>176.0</v>
      </c>
      <c r="B177" s="1" t="s">
        <v>490</v>
      </c>
      <c r="C177" s="1" t="s">
        <v>57</v>
      </c>
      <c r="D177" s="1" t="s">
        <v>312</v>
      </c>
      <c r="E177" s="1" t="s">
        <v>312</v>
      </c>
      <c r="F177" s="1" t="s">
        <v>491</v>
      </c>
      <c r="G177" s="1" t="b">
        <v>0</v>
      </c>
      <c r="H177" s="1" t="s">
        <v>44</v>
      </c>
      <c r="I177" s="1" t="s">
        <v>35</v>
      </c>
      <c r="J177" s="1" t="b">
        <v>1</v>
      </c>
      <c r="K177" s="2">
        <v>45780.0</v>
      </c>
      <c r="L177" s="1" t="s">
        <v>20</v>
      </c>
      <c r="M177" s="3" t="str">
        <f t="shared" si="1"/>
        <v>✅ OK</v>
      </c>
      <c r="N177" s="3" t="str">
        <f t="shared" si="2"/>
        <v>OK</v>
      </c>
      <c r="O177" s="3" t="str">
        <f t="shared" si="3"/>
        <v>COMPLIANT</v>
      </c>
    </row>
    <row r="178">
      <c r="A178" s="1">
        <v>177.0</v>
      </c>
      <c r="B178" s="1" t="s">
        <v>492</v>
      </c>
      <c r="C178" s="1" t="s">
        <v>16</v>
      </c>
      <c r="D178" s="1" t="s">
        <v>144</v>
      </c>
      <c r="E178" s="1" t="s">
        <v>144</v>
      </c>
      <c r="F178" s="1" t="s">
        <v>493</v>
      </c>
      <c r="G178" s="1" t="b">
        <v>0</v>
      </c>
      <c r="H178" s="1" t="s">
        <v>19</v>
      </c>
      <c r="I178" s="1" t="s">
        <v>35</v>
      </c>
      <c r="J178" s="1" t="b">
        <v>0</v>
      </c>
      <c r="K178" s="1" t="s">
        <v>494</v>
      </c>
      <c r="L178" s="1" t="s">
        <v>31</v>
      </c>
      <c r="M178" s="3" t="str">
        <f t="shared" si="1"/>
        <v>✅ OK</v>
      </c>
      <c r="N178" s="3" t="str">
        <f t="shared" si="2"/>
        <v>OK</v>
      </c>
      <c r="O178" s="3" t="str">
        <f t="shared" si="3"/>
        <v>COMPLIANT</v>
      </c>
    </row>
    <row r="179">
      <c r="A179" s="1">
        <v>178.0</v>
      </c>
      <c r="B179" s="1" t="s">
        <v>495</v>
      </c>
      <c r="C179" s="1" t="s">
        <v>16</v>
      </c>
      <c r="D179" s="1" t="s">
        <v>17</v>
      </c>
      <c r="E179" s="1" t="s">
        <v>17</v>
      </c>
      <c r="F179" s="1" t="s">
        <v>496</v>
      </c>
      <c r="G179" s="1" t="b">
        <v>0</v>
      </c>
      <c r="H179" s="1" t="s">
        <v>19</v>
      </c>
      <c r="I179" s="1" t="s">
        <v>17</v>
      </c>
      <c r="J179" s="1" t="b">
        <v>0</v>
      </c>
      <c r="K179" s="1" t="s">
        <v>497</v>
      </c>
      <c r="L179" s="1" t="s">
        <v>31</v>
      </c>
      <c r="M179" s="3" t="str">
        <f t="shared" si="1"/>
        <v>✅ OK</v>
      </c>
      <c r="N179" s="3" t="str">
        <f t="shared" si="2"/>
        <v>OK</v>
      </c>
      <c r="O179" s="3" t="str">
        <f t="shared" si="3"/>
        <v>COMPLIANT</v>
      </c>
    </row>
    <row r="180">
      <c r="A180" s="1">
        <v>179.0</v>
      </c>
      <c r="B180" s="1" t="s">
        <v>498</v>
      </c>
      <c r="C180" s="1" t="s">
        <v>26</v>
      </c>
      <c r="D180" s="1" t="s">
        <v>79</v>
      </c>
      <c r="E180" s="1" t="s">
        <v>79</v>
      </c>
      <c r="F180" s="1" t="s">
        <v>499</v>
      </c>
      <c r="G180" s="1" t="b">
        <v>0</v>
      </c>
      <c r="H180" s="1" t="s">
        <v>44</v>
      </c>
      <c r="I180" s="1" t="s">
        <v>35</v>
      </c>
      <c r="J180" s="1" t="b">
        <v>1</v>
      </c>
      <c r="K180" s="1" t="s">
        <v>500</v>
      </c>
      <c r="L180" s="1" t="s">
        <v>31</v>
      </c>
      <c r="M180" s="3" t="str">
        <f t="shared" si="1"/>
        <v>✅ OK</v>
      </c>
      <c r="N180" s="3" t="str">
        <f t="shared" si="2"/>
        <v>OK</v>
      </c>
      <c r="O180" s="3" t="str">
        <f t="shared" si="3"/>
        <v>COMPLIANT</v>
      </c>
    </row>
    <row r="181">
      <c r="A181" s="1">
        <v>180.0</v>
      </c>
      <c r="B181" s="1" t="s">
        <v>411</v>
      </c>
      <c r="C181" s="1" t="s">
        <v>16</v>
      </c>
      <c r="D181" s="1" t="s">
        <v>69</v>
      </c>
      <c r="E181" s="1" t="s">
        <v>69</v>
      </c>
      <c r="F181" s="1" t="s">
        <v>501</v>
      </c>
      <c r="G181" s="1" t="b">
        <v>0</v>
      </c>
      <c r="H181" s="1" t="s">
        <v>29</v>
      </c>
      <c r="I181" s="1" t="s">
        <v>17</v>
      </c>
      <c r="J181" s="1" t="b">
        <v>1</v>
      </c>
      <c r="K181" s="1" t="s">
        <v>502</v>
      </c>
      <c r="L181" s="1" t="s">
        <v>20</v>
      </c>
      <c r="M181" s="3" t="str">
        <f t="shared" si="1"/>
        <v>✅ OK</v>
      </c>
      <c r="N181" s="3" t="str">
        <f t="shared" si="2"/>
        <v>OK</v>
      </c>
      <c r="O181" s="3" t="str">
        <f t="shared" si="3"/>
        <v>COMPLIANT</v>
      </c>
    </row>
    <row r="182">
      <c r="A182" s="1">
        <v>181.0</v>
      </c>
      <c r="B182" s="1" t="s">
        <v>503</v>
      </c>
      <c r="C182" s="1" t="s">
        <v>16</v>
      </c>
      <c r="D182" s="1" t="s">
        <v>79</v>
      </c>
      <c r="E182" s="1" t="s">
        <v>79</v>
      </c>
      <c r="F182" s="1" t="s">
        <v>504</v>
      </c>
      <c r="G182" s="1" t="b">
        <v>1</v>
      </c>
      <c r="H182" s="1" t="s">
        <v>19</v>
      </c>
      <c r="I182" s="1" t="s">
        <v>24</v>
      </c>
      <c r="J182" s="1" t="b">
        <v>1</v>
      </c>
      <c r="K182" s="1" t="s">
        <v>505</v>
      </c>
      <c r="L182" s="1" t="s">
        <v>20</v>
      </c>
      <c r="M182" s="3" t="str">
        <f t="shared" si="1"/>
        <v>✅ OK</v>
      </c>
      <c r="N182" s="3" t="str">
        <f t="shared" si="2"/>
        <v>OK</v>
      </c>
      <c r="O182" s="3" t="str">
        <f t="shared" si="3"/>
        <v>COMPLIANT</v>
      </c>
    </row>
    <row r="183">
      <c r="A183" s="1">
        <v>182.0</v>
      </c>
      <c r="B183" s="1" t="s">
        <v>506</v>
      </c>
      <c r="C183" s="1" t="s">
        <v>26</v>
      </c>
      <c r="D183" s="1" t="s">
        <v>507</v>
      </c>
      <c r="E183" s="1" t="s">
        <v>507</v>
      </c>
      <c r="F183" s="1" t="s">
        <v>508</v>
      </c>
      <c r="G183" s="1" t="b">
        <v>1</v>
      </c>
      <c r="H183" s="1" t="s">
        <v>19</v>
      </c>
      <c r="I183" s="1" t="s">
        <v>35</v>
      </c>
      <c r="J183" s="1" t="b">
        <v>1</v>
      </c>
      <c r="K183" s="2">
        <v>45204.0</v>
      </c>
      <c r="L183" s="1" t="s">
        <v>31</v>
      </c>
      <c r="M183" s="3" t="str">
        <f t="shared" si="1"/>
        <v>✅ OK</v>
      </c>
      <c r="N183" s="3" t="str">
        <f t="shared" si="2"/>
        <v>OK</v>
      </c>
      <c r="O183" s="3" t="str">
        <f t="shared" si="3"/>
        <v>COMPLIANT</v>
      </c>
    </row>
    <row r="184">
      <c r="A184" s="1">
        <v>183.0</v>
      </c>
      <c r="B184" s="1" t="s">
        <v>509</v>
      </c>
      <c r="C184" s="1" t="s">
        <v>57</v>
      </c>
      <c r="D184" s="1" t="s">
        <v>446</v>
      </c>
      <c r="E184" s="1" t="s">
        <v>446</v>
      </c>
      <c r="F184" s="1" t="s">
        <v>510</v>
      </c>
      <c r="G184" s="1" t="b">
        <v>1</v>
      </c>
      <c r="H184" s="1" t="s">
        <v>19</v>
      </c>
      <c r="I184" s="1" t="s">
        <v>24</v>
      </c>
      <c r="J184" s="1" t="b">
        <v>0</v>
      </c>
      <c r="K184" s="1" t="s">
        <v>511</v>
      </c>
      <c r="L184" s="1" t="s">
        <v>31</v>
      </c>
      <c r="M184" s="3" t="str">
        <f t="shared" si="1"/>
        <v>✅ OK</v>
      </c>
      <c r="N184" s="3" t="str">
        <f t="shared" si="2"/>
        <v>OK</v>
      </c>
      <c r="O184" s="3" t="str">
        <f t="shared" si="3"/>
        <v>COMPLIANT</v>
      </c>
    </row>
    <row r="185">
      <c r="A185" s="1">
        <v>184.0</v>
      </c>
      <c r="B185" s="1" t="s">
        <v>512</v>
      </c>
      <c r="C185" s="1" t="s">
        <v>16</v>
      </c>
      <c r="D185" s="1" t="s">
        <v>74</v>
      </c>
      <c r="E185" s="1" t="s">
        <v>74</v>
      </c>
      <c r="F185" s="1" t="s">
        <v>513</v>
      </c>
      <c r="G185" s="1" t="b">
        <v>1</v>
      </c>
      <c r="H185" s="1" t="s">
        <v>29</v>
      </c>
      <c r="I185" s="1" t="s">
        <v>24</v>
      </c>
      <c r="J185" s="1" t="b">
        <v>1</v>
      </c>
      <c r="K185" s="2">
        <v>45877.0</v>
      </c>
      <c r="L185" s="1" t="s">
        <v>31</v>
      </c>
      <c r="M185" s="3" t="str">
        <f t="shared" si="1"/>
        <v>✅ OK</v>
      </c>
      <c r="N185" s="3" t="str">
        <f t="shared" si="2"/>
        <v>OK</v>
      </c>
      <c r="O185" s="3" t="str">
        <f t="shared" si="3"/>
        <v>COMPLIANT</v>
      </c>
    </row>
    <row r="186">
      <c r="A186" s="1">
        <v>185.0</v>
      </c>
      <c r="B186" s="1" t="s">
        <v>193</v>
      </c>
      <c r="C186" s="1" t="s">
        <v>47</v>
      </c>
      <c r="D186" s="1" t="s">
        <v>74</v>
      </c>
      <c r="E186" s="1" t="s">
        <v>74</v>
      </c>
      <c r="F186" s="1" t="s">
        <v>514</v>
      </c>
      <c r="G186" s="1" t="b">
        <v>1</v>
      </c>
      <c r="H186" s="1" t="s">
        <v>19</v>
      </c>
      <c r="I186" s="1" t="s">
        <v>24</v>
      </c>
      <c r="J186" s="1" t="b">
        <v>0</v>
      </c>
      <c r="K186" s="1" t="s">
        <v>515</v>
      </c>
      <c r="L186" s="1" t="s">
        <v>31</v>
      </c>
      <c r="M186" s="3" t="str">
        <f t="shared" si="1"/>
        <v>✅ OK</v>
      </c>
      <c r="N186" s="3" t="str">
        <f t="shared" si="2"/>
        <v>OK</v>
      </c>
      <c r="O186" s="3" t="str">
        <f t="shared" si="3"/>
        <v>COMPLIANT</v>
      </c>
    </row>
    <row r="187">
      <c r="A187" s="1">
        <v>186.0</v>
      </c>
      <c r="B187" s="1" t="s">
        <v>516</v>
      </c>
      <c r="C187" s="1" t="s">
        <v>16</v>
      </c>
      <c r="D187" s="1" t="s">
        <v>517</v>
      </c>
      <c r="E187" s="1" t="s">
        <v>517</v>
      </c>
      <c r="F187" s="1" t="s">
        <v>518</v>
      </c>
      <c r="G187" s="1" t="b">
        <v>1</v>
      </c>
      <c r="H187" s="1" t="s">
        <v>44</v>
      </c>
      <c r="I187" s="1" t="s">
        <v>24</v>
      </c>
      <c r="J187" s="1" t="b">
        <v>1</v>
      </c>
      <c r="K187" s="1" t="s">
        <v>519</v>
      </c>
      <c r="L187" s="1" t="s">
        <v>31</v>
      </c>
      <c r="M187" s="3" t="str">
        <f t="shared" si="1"/>
        <v>✅ OK</v>
      </c>
      <c r="N187" s="3" t="str">
        <f t="shared" si="2"/>
        <v>OK</v>
      </c>
      <c r="O187" s="3" t="str">
        <f t="shared" si="3"/>
        <v>COMPLIANT</v>
      </c>
    </row>
    <row r="188">
      <c r="A188" s="1">
        <v>187.0</v>
      </c>
      <c r="B188" s="1" t="s">
        <v>520</v>
      </c>
      <c r="C188" s="1" t="s">
        <v>57</v>
      </c>
      <c r="D188" s="1" t="s">
        <v>42</v>
      </c>
      <c r="E188" s="1" t="s">
        <v>42</v>
      </c>
      <c r="F188" s="1" t="s">
        <v>521</v>
      </c>
      <c r="G188" s="1" t="b">
        <v>0</v>
      </c>
      <c r="I188" s="1" t="s">
        <v>17</v>
      </c>
      <c r="J188" s="1" t="b">
        <v>0</v>
      </c>
      <c r="K188" s="1" t="s">
        <v>522</v>
      </c>
      <c r="L188" s="1" t="s">
        <v>20</v>
      </c>
      <c r="M188" s="3" t="str">
        <f t="shared" si="1"/>
        <v>✅ OK</v>
      </c>
      <c r="N188" s="3" t="str">
        <f t="shared" si="2"/>
        <v>OK</v>
      </c>
      <c r="O188" s="3" t="str">
        <f t="shared" si="3"/>
        <v>COMPLIANT</v>
      </c>
    </row>
    <row r="189">
      <c r="A189" s="1">
        <v>188.0</v>
      </c>
      <c r="B189" s="1" t="s">
        <v>100</v>
      </c>
      <c r="C189" s="1" t="s">
        <v>16</v>
      </c>
      <c r="D189" s="1" t="s">
        <v>312</v>
      </c>
      <c r="E189" s="1" t="s">
        <v>312</v>
      </c>
      <c r="F189" s="1" t="s">
        <v>523</v>
      </c>
      <c r="G189" s="1" t="b">
        <v>0</v>
      </c>
      <c r="H189" s="1" t="s">
        <v>44</v>
      </c>
      <c r="I189" s="1" t="s">
        <v>17</v>
      </c>
      <c r="J189" s="1" t="b">
        <v>0</v>
      </c>
      <c r="K189" s="2">
        <v>45048.0</v>
      </c>
      <c r="L189" s="1" t="s">
        <v>20</v>
      </c>
      <c r="M189" s="3" t="str">
        <f t="shared" si="1"/>
        <v>✅ OK</v>
      </c>
      <c r="N189" s="3" t="str">
        <f t="shared" si="2"/>
        <v>OK</v>
      </c>
      <c r="O189" s="3" t="str">
        <f t="shared" si="3"/>
        <v>COMPLIANT</v>
      </c>
    </row>
    <row r="190">
      <c r="A190" s="1">
        <v>189.0</v>
      </c>
      <c r="B190" s="1" t="s">
        <v>232</v>
      </c>
      <c r="C190" s="1" t="s">
        <v>47</v>
      </c>
      <c r="D190" s="1" t="s">
        <v>101</v>
      </c>
      <c r="E190" s="1" t="s">
        <v>101</v>
      </c>
      <c r="F190" s="1" t="s">
        <v>524</v>
      </c>
      <c r="G190" s="1" t="b">
        <v>1</v>
      </c>
      <c r="H190" s="1" t="s">
        <v>19</v>
      </c>
      <c r="I190" s="1" t="s">
        <v>24</v>
      </c>
      <c r="J190" s="1" t="b">
        <v>0</v>
      </c>
      <c r="K190" s="2">
        <v>45112.0</v>
      </c>
      <c r="L190" s="1" t="s">
        <v>20</v>
      </c>
      <c r="M190" s="3" t="str">
        <f t="shared" si="1"/>
        <v>✅ OK</v>
      </c>
      <c r="N190" s="3" t="str">
        <f t="shared" si="2"/>
        <v>OK</v>
      </c>
      <c r="O190" s="3" t="str">
        <f t="shared" si="3"/>
        <v>COMPLIANT</v>
      </c>
    </row>
    <row r="191">
      <c r="A191" s="1">
        <v>190.0</v>
      </c>
      <c r="B191" s="1" t="s">
        <v>516</v>
      </c>
      <c r="C191" s="1" t="s">
        <v>57</v>
      </c>
      <c r="D191" s="1" t="s">
        <v>249</v>
      </c>
      <c r="E191" s="1" t="s">
        <v>249</v>
      </c>
      <c r="F191" s="1" t="s">
        <v>525</v>
      </c>
      <c r="G191" s="1" t="b">
        <v>0</v>
      </c>
      <c r="H191" s="1" t="s">
        <v>19</v>
      </c>
      <c r="I191" s="1" t="s">
        <v>24</v>
      </c>
      <c r="J191" s="1" t="b">
        <v>1</v>
      </c>
      <c r="K191" s="1" t="s">
        <v>526</v>
      </c>
      <c r="L191" s="1" t="s">
        <v>20</v>
      </c>
      <c r="M191" s="3" t="str">
        <f t="shared" si="1"/>
        <v>✅ OK</v>
      </c>
      <c r="N191" s="3" t="str">
        <f t="shared" si="2"/>
        <v>OK</v>
      </c>
      <c r="O191" s="3" t="str">
        <f t="shared" si="3"/>
        <v>COMPLIANT</v>
      </c>
    </row>
    <row r="192">
      <c r="A192" s="1">
        <v>191.0</v>
      </c>
      <c r="B192" s="1" t="s">
        <v>355</v>
      </c>
      <c r="C192" s="1" t="s">
        <v>26</v>
      </c>
      <c r="D192" s="1" t="s">
        <v>400</v>
      </c>
      <c r="E192" s="1" t="s">
        <v>400</v>
      </c>
      <c r="F192" s="1" t="s">
        <v>527</v>
      </c>
      <c r="G192" s="1" t="b">
        <v>1</v>
      </c>
      <c r="H192" s="1" t="s">
        <v>44</v>
      </c>
      <c r="I192" s="1" t="s">
        <v>24</v>
      </c>
      <c r="J192" s="1" t="b">
        <v>0</v>
      </c>
      <c r="K192" s="1" t="s">
        <v>528</v>
      </c>
      <c r="L192" s="1" t="s">
        <v>20</v>
      </c>
      <c r="M192" s="3" t="str">
        <f t="shared" si="1"/>
        <v>✅ OK</v>
      </c>
      <c r="N192" s="3" t="str">
        <f t="shared" si="2"/>
        <v>OK</v>
      </c>
      <c r="O192" s="3" t="str">
        <f t="shared" si="3"/>
        <v>COMPLIANT</v>
      </c>
    </row>
    <row r="193">
      <c r="A193" s="1">
        <v>192.0</v>
      </c>
      <c r="B193" s="1" t="s">
        <v>96</v>
      </c>
      <c r="C193" s="1" t="s">
        <v>47</v>
      </c>
      <c r="D193" s="1" t="s">
        <v>101</v>
      </c>
      <c r="E193" s="1" t="s">
        <v>101</v>
      </c>
      <c r="F193" s="1" t="s">
        <v>529</v>
      </c>
      <c r="G193" s="1" t="b">
        <v>0</v>
      </c>
      <c r="H193" s="1" t="s">
        <v>19</v>
      </c>
      <c r="I193" s="1" t="s">
        <v>17</v>
      </c>
      <c r="J193" s="1" t="b">
        <v>0</v>
      </c>
      <c r="K193" s="2">
        <v>45505.0</v>
      </c>
      <c r="L193" s="1" t="s">
        <v>31</v>
      </c>
      <c r="M193" s="3" t="str">
        <f t="shared" si="1"/>
        <v>✅ OK</v>
      </c>
      <c r="N193" s="3" t="str">
        <f t="shared" si="2"/>
        <v>OK</v>
      </c>
      <c r="O193" s="3" t="str">
        <f t="shared" si="3"/>
        <v>COMPLIANT</v>
      </c>
    </row>
    <row r="194">
      <c r="A194" s="1">
        <v>193.0</v>
      </c>
      <c r="B194" s="1" t="s">
        <v>530</v>
      </c>
      <c r="C194" s="1" t="s">
        <v>47</v>
      </c>
      <c r="D194" s="1" t="s">
        <v>42</v>
      </c>
      <c r="E194" s="1" t="s">
        <v>42</v>
      </c>
      <c r="F194" s="1" t="s">
        <v>531</v>
      </c>
      <c r="G194" s="1" t="b">
        <v>1</v>
      </c>
      <c r="H194" s="1" t="s">
        <v>29</v>
      </c>
      <c r="I194" s="1" t="s">
        <v>17</v>
      </c>
      <c r="J194" s="1" t="b">
        <v>0</v>
      </c>
      <c r="K194" s="1" t="s">
        <v>532</v>
      </c>
      <c r="L194" s="1" t="s">
        <v>20</v>
      </c>
      <c r="M194" s="3" t="str">
        <f t="shared" si="1"/>
        <v>✅ OK</v>
      </c>
      <c r="N194" s="3" t="str">
        <f t="shared" si="2"/>
        <v>OK</v>
      </c>
      <c r="O194" s="3" t="str">
        <f t="shared" si="3"/>
        <v>COMPLIANT</v>
      </c>
    </row>
    <row r="195">
      <c r="A195" s="1">
        <v>194.0</v>
      </c>
      <c r="B195" s="1" t="s">
        <v>467</v>
      </c>
      <c r="C195" s="1" t="s">
        <v>47</v>
      </c>
      <c r="D195" s="1" t="s">
        <v>33</v>
      </c>
      <c r="E195" s="1" t="s">
        <v>42</v>
      </c>
      <c r="F195" s="1" t="s">
        <v>533</v>
      </c>
      <c r="G195" s="1" t="b">
        <v>1</v>
      </c>
      <c r="H195" s="1" t="s">
        <v>19</v>
      </c>
      <c r="I195" s="1" t="s">
        <v>17</v>
      </c>
      <c r="J195" s="1" t="b">
        <v>1</v>
      </c>
      <c r="K195" s="2">
        <v>45633.0</v>
      </c>
      <c r="L195" s="1" t="s">
        <v>20</v>
      </c>
      <c r="M195" s="3" t="str">
        <f t="shared" si="1"/>
        <v>✅ OK</v>
      </c>
      <c r="N195" s="3" t="str">
        <f t="shared" si="2"/>
        <v>🚩 FRAUD ALERT</v>
      </c>
      <c r="O195" s="3" t="str">
        <f t="shared" si="3"/>
        <v>CRITICAL</v>
      </c>
    </row>
    <row r="196">
      <c r="A196" s="1">
        <v>195.0</v>
      </c>
      <c r="B196" s="1" t="s">
        <v>534</v>
      </c>
      <c r="C196" s="1" t="s">
        <v>16</v>
      </c>
      <c r="D196" s="1" t="s">
        <v>79</v>
      </c>
      <c r="E196" s="1" t="s">
        <v>42</v>
      </c>
      <c r="F196" s="1" t="s">
        <v>535</v>
      </c>
      <c r="G196" s="1" t="b">
        <v>0</v>
      </c>
      <c r="H196" s="1" t="s">
        <v>19</v>
      </c>
      <c r="I196" s="1" t="s">
        <v>35</v>
      </c>
      <c r="J196" s="1" t="b">
        <v>0</v>
      </c>
      <c r="K196" s="1" t="s">
        <v>536</v>
      </c>
      <c r="L196" s="1" t="s">
        <v>31</v>
      </c>
      <c r="M196" s="3" t="str">
        <f t="shared" si="1"/>
        <v>✅ OK</v>
      </c>
      <c r="N196" s="3" t="str">
        <f t="shared" si="2"/>
        <v>🚩 FRAUD ALERT</v>
      </c>
      <c r="O196" s="3" t="str">
        <f t="shared" si="3"/>
        <v>CRITICAL</v>
      </c>
    </row>
    <row r="197">
      <c r="A197" s="1">
        <v>196.0</v>
      </c>
      <c r="B197" s="1" t="s">
        <v>537</v>
      </c>
      <c r="C197" s="1" t="s">
        <v>16</v>
      </c>
      <c r="D197" s="1" t="s">
        <v>538</v>
      </c>
      <c r="E197" s="1" t="s">
        <v>42</v>
      </c>
      <c r="F197" s="1" t="s">
        <v>539</v>
      </c>
      <c r="G197" s="1" t="b">
        <v>1</v>
      </c>
      <c r="I197" s="1" t="s">
        <v>17</v>
      </c>
      <c r="J197" s="1" t="b">
        <v>0</v>
      </c>
      <c r="K197" s="1" t="s">
        <v>540</v>
      </c>
      <c r="L197" s="1" t="s">
        <v>31</v>
      </c>
      <c r="M197" s="3" t="str">
        <f t="shared" si="1"/>
        <v>✅ OK</v>
      </c>
      <c r="N197" s="3" t="str">
        <f t="shared" si="2"/>
        <v>🚩 FRAUD ALERT</v>
      </c>
      <c r="O197" s="3" t="str">
        <f t="shared" si="3"/>
        <v>CRITICAL</v>
      </c>
    </row>
    <row r="198">
      <c r="A198" s="1">
        <v>197.0</v>
      </c>
      <c r="B198" s="1" t="s">
        <v>154</v>
      </c>
      <c r="C198" s="1" t="s">
        <v>47</v>
      </c>
      <c r="D198" s="1" t="s">
        <v>17</v>
      </c>
      <c r="E198" s="1" t="s">
        <v>17</v>
      </c>
      <c r="F198" s="1" t="s">
        <v>541</v>
      </c>
      <c r="G198" s="1" t="b">
        <v>1</v>
      </c>
      <c r="I198" s="1" t="s">
        <v>35</v>
      </c>
      <c r="J198" s="1" t="b">
        <v>1</v>
      </c>
      <c r="K198" s="1" t="s">
        <v>542</v>
      </c>
      <c r="L198" s="1" t="s">
        <v>20</v>
      </c>
      <c r="M198" s="3" t="str">
        <f t="shared" si="1"/>
        <v>✅ OK</v>
      </c>
      <c r="N198" s="3" t="str">
        <f t="shared" si="2"/>
        <v>OK</v>
      </c>
      <c r="O198" s="3" t="str">
        <f t="shared" si="3"/>
        <v>COMPLIANT</v>
      </c>
    </row>
    <row r="199">
      <c r="A199" s="1">
        <v>198.0</v>
      </c>
      <c r="B199" s="1" t="s">
        <v>543</v>
      </c>
      <c r="C199" s="1" t="s">
        <v>47</v>
      </c>
      <c r="D199" s="1" t="s">
        <v>17</v>
      </c>
      <c r="E199" s="1" t="s">
        <v>17</v>
      </c>
      <c r="F199" s="1" t="s">
        <v>544</v>
      </c>
      <c r="G199" s="1" t="b">
        <v>1</v>
      </c>
      <c r="H199" s="1" t="s">
        <v>44</v>
      </c>
      <c r="I199" s="1" t="s">
        <v>24</v>
      </c>
      <c r="J199" s="1" t="b">
        <v>1</v>
      </c>
      <c r="K199" s="1" t="s">
        <v>545</v>
      </c>
      <c r="L199" s="1" t="s">
        <v>20</v>
      </c>
      <c r="M199" s="3" t="str">
        <f t="shared" si="1"/>
        <v>✅ OK</v>
      </c>
      <c r="N199" s="3" t="str">
        <f t="shared" si="2"/>
        <v>OK</v>
      </c>
      <c r="O199" s="3" t="str">
        <f t="shared" si="3"/>
        <v>COMPLIANT</v>
      </c>
    </row>
    <row r="200">
      <c r="A200" s="1">
        <v>199.0</v>
      </c>
      <c r="B200" s="1" t="s">
        <v>546</v>
      </c>
      <c r="C200" s="1" t="s">
        <v>16</v>
      </c>
      <c r="D200" s="1" t="s">
        <v>51</v>
      </c>
      <c r="E200" s="1" t="s">
        <v>51</v>
      </c>
      <c r="F200" s="1" t="s">
        <v>547</v>
      </c>
      <c r="G200" s="1" t="b">
        <v>0</v>
      </c>
      <c r="H200" s="1" t="s">
        <v>19</v>
      </c>
      <c r="I200" s="1" t="s">
        <v>24</v>
      </c>
      <c r="J200" s="1" t="b">
        <v>0</v>
      </c>
      <c r="K200" s="2">
        <v>45967.0</v>
      </c>
      <c r="L200" s="1" t="s">
        <v>31</v>
      </c>
      <c r="M200" s="3" t="str">
        <f t="shared" si="1"/>
        <v>✅ OK</v>
      </c>
      <c r="N200" s="3" t="str">
        <f t="shared" si="2"/>
        <v>OK</v>
      </c>
      <c r="O200" s="3" t="str">
        <f t="shared" si="3"/>
        <v>COMPLIANT</v>
      </c>
    </row>
    <row r="201">
      <c r="A201" s="1">
        <v>200.0</v>
      </c>
      <c r="B201" s="1" t="s">
        <v>548</v>
      </c>
      <c r="C201" s="1" t="s">
        <v>26</v>
      </c>
      <c r="D201" s="1" t="s">
        <v>431</v>
      </c>
      <c r="E201" s="1" t="s">
        <v>431</v>
      </c>
      <c r="F201" s="1" t="s">
        <v>549</v>
      </c>
      <c r="G201" s="1" t="b">
        <v>0</v>
      </c>
      <c r="H201" s="1" t="s">
        <v>44</v>
      </c>
      <c r="I201" s="1" t="s">
        <v>24</v>
      </c>
      <c r="J201" s="1" t="b">
        <v>0</v>
      </c>
      <c r="K201" s="1" t="s">
        <v>550</v>
      </c>
      <c r="L201" s="1" t="s">
        <v>31</v>
      </c>
      <c r="M201" s="3" t="str">
        <f t="shared" si="1"/>
        <v>✅ OK</v>
      </c>
      <c r="N201" s="3" t="str">
        <f t="shared" si="2"/>
        <v>OK</v>
      </c>
      <c r="O201" s="3" t="str">
        <f t="shared" si="3"/>
        <v>COMPLIANT</v>
      </c>
    </row>
    <row r="202">
      <c r="A202" s="1">
        <v>201.0</v>
      </c>
      <c r="B202" s="1" t="s">
        <v>323</v>
      </c>
      <c r="C202" s="1" t="s">
        <v>57</v>
      </c>
      <c r="D202" s="1" t="s">
        <v>144</v>
      </c>
      <c r="E202" s="1" t="s">
        <v>144</v>
      </c>
      <c r="F202" s="1" t="s">
        <v>551</v>
      </c>
      <c r="G202" s="1" t="b">
        <v>0</v>
      </c>
      <c r="H202" s="1" t="s">
        <v>19</v>
      </c>
      <c r="I202" s="1" t="s">
        <v>24</v>
      </c>
      <c r="J202" s="1" t="b">
        <v>1</v>
      </c>
      <c r="K202" s="2">
        <v>45752.0</v>
      </c>
      <c r="L202" s="1" t="s">
        <v>31</v>
      </c>
      <c r="M202" s="3" t="str">
        <f t="shared" si="1"/>
        <v>✅ OK</v>
      </c>
      <c r="N202" s="3" t="str">
        <f t="shared" si="2"/>
        <v>OK</v>
      </c>
      <c r="O202" s="3" t="str">
        <f t="shared" si="3"/>
        <v>COMPLIANT</v>
      </c>
    </row>
    <row r="203">
      <c r="A203" s="1">
        <v>202.0</v>
      </c>
      <c r="B203" s="1" t="s">
        <v>488</v>
      </c>
      <c r="C203" s="1" t="s">
        <v>16</v>
      </c>
      <c r="D203" s="1" t="s">
        <v>552</v>
      </c>
      <c r="E203" s="1" t="s">
        <v>552</v>
      </c>
      <c r="F203" s="1" t="s">
        <v>553</v>
      </c>
      <c r="G203" s="1" t="b">
        <v>0</v>
      </c>
      <c r="H203" s="1" t="s">
        <v>29</v>
      </c>
      <c r="I203" s="1" t="s">
        <v>24</v>
      </c>
      <c r="J203" s="1" t="b">
        <v>0</v>
      </c>
      <c r="K203" s="1" t="s">
        <v>554</v>
      </c>
      <c r="L203" s="1" t="s">
        <v>31</v>
      </c>
      <c r="M203" s="3" t="str">
        <f t="shared" si="1"/>
        <v>✅ OK</v>
      </c>
      <c r="N203" s="3" t="str">
        <f t="shared" si="2"/>
        <v>OK</v>
      </c>
      <c r="O203" s="3" t="str">
        <f t="shared" si="3"/>
        <v>COMPLIANT</v>
      </c>
    </row>
    <row r="204">
      <c r="A204" s="1">
        <v>203.0</v>
      </c>
      <c r="B204" s="1" t="s">
        <v>423</v>
      </c>
      <c r="C204" s="1" t="s">
        <v>26</v>
      </c>
      <c r="D204" s="1" t="s">
        <v>74</v>
      </c>
      <c r="E204" s="1" t="s">
        <v>74</v>
      </c>
      <c r="F204" s="1" t="s">
        <v>555</v>
      </c>
      <c r="G204" s="1" t="b">
        <v>0</v>
      </c>
      <c r="H204" s="1" t="s">
        <v>29</v>
      </c>
      <c r="I204" s="1" t="s">
        <v>35</v>
      </c>
      <c r="J204" s="1" t="b">
        <v>1</v>
      </c>
      <c r="K204" s="2">
        <v>44968.0</v>
      </c>
      <c r="L204" s="1" t="s">
        <v>20</v>
      </c>
      <c r="M204" s="3" t="str">
        <f t="shared" si="1"/>
        <v>✅ OK</v>
      </c>
      <c r="N204" s="3" t="str">
        <f t="shared" si="2"/>
        <v>OK</v>
      </c>
      <c r="O204" s="3" t="str">
        <f t="shared" si="3"/>
        <v>COMPLIANT</v>
      </c>
    </row>
    <row r="205">
      <c r="A205" s="1">
        <v>204.0</v>
      </c>
      <c r="B205" s="1" t="s">
        <v>556</v>
      </c>
      <c r="C205" s="1" t="s">
        <v>57</v>
      </c>
      <c r="D205" s="1" t="s">
        <v>431</v>
      </c>
      <c r="E205" s="1" t="s">
        <v>431</v>
      </c>
      <c r="F205" s="1" t="s">
        <v>557</v>
      </c>
      <c r="G205" s="1" t="b">
        <v>1</v>
      </c>
      <c r="H205" s="1" t="s">
        <v>44</v>
      </c>
      <c r="I205" s="1" t="s">
        <v>35</v>
      </c>
      <c r="J205" s="1" t="b">
        <v>1</v>
      </c>
      <c r="K205" s="1" t="s">
        <v>558</v>
      </c>
      <c r="L205" s="1" t="s">
        <v>31</v>
      </c>
      <c r="M205" s="3" t="str">
        <f t="shared" si="1"/>
        <v>✅ OK</v>
      </c>
      <c r="N205" s="3" t="str">
        <f t="shared" si="2"/>
        <v>OK</v>
      </c>
      <c r="O205" s="3" t="str">
        <f t="shared" si="3"/>
        <v>COMPLIANT</v>
      </c>
    </row>
    <row r="206">
      <c r="A206" s="1">
        <v>205.0</v>
      </c>
      <c r="B206" s="1" t="s">
        <v>61</v>
      </c>
      <c r="C206" s="1" t="s">
        <v>26</v>
      </c>
      <c r="D206" s="1" t="s">
        <v>79</v>
      </c>
      <c r="E206" s="1" t="s">
        <v>79</v>
      </c>
      <c r="F206" s="1" t="s">
        <v>559</v>
      </c>
      <c r="G206" s="1" t="b">
        <v>0</v>
      </c>
      <c r="H206" s="1" t="s">
        <v>44</v>
      </c>
      <c r="I206" s="1" t="s">
        <v>24</v>
      </c>
      <c r="J206" s="1" t="b">
        <v>0</v>
      </c>
      <c r="K206" s="2">
        <v>45749.0</v>
      </c>
      <c r="L206" s="1" t="s">
        <v>20</v>
      </c>
      <c r="M206" s="3" t="str">
        <f t="shared" si="1"/>
        <v>✅ OK</v>
      </c>
      <c r="N206" s="3" t="str">
        <f t="shared" si="2"/>
        <v>OK</v>
      </c>
      <c r="O206" s="3" t="str">
        <f t="shared" si="3"/>
        <v>COMPLIANT</v>
      </c>
    </row>
    <row r="207">
      <c r="A207" s="1">
        <v>206.0</v>
      </c>
      <c r="B207" s="1" t="s">
        <v>560</v>
      </c>
      <c r="C207" s="1" t="s">
        <v>57</v>
      </c>
      <c r="D207" s="1" t="s">
        <v>79</v>
      </c>
      <c r="E207" s="1" t="s">
        <v>79</v>
      </c>
      <c r="F207" s="1" t="s">
        <v>561</v>
      </c>
      <c r="G207" s="1" t="b">
        <v>0</v>
      </c>
      <c r="H207" s="1" t="s">
        <v>29</v>
      </c>
      <c r="I207" s="1" t="s">
        <v>35</v>
      </c>
      <c r="J207" s="1" t="b">
        <v>0</v>
      </c>
      <c r="K207" s="1" t="s">
        <v>562</v>
      </c>
      <c r="L207" s="1" t="s">
        <v>31</v>
      </c>
      <c r="M207" s="3" t="str">
        <f t="shared" si="1"/>
        <v>✅ OK</v>
      </c>
      <c r="N207" s="3" t="str">
        <f t="shared" si="2"/>
        <v>OK</v>
      </c>
      <c r="O207" s="3" t="str">
        <f t="shared" si="3"/>
        <v>COMPLIANT</v>
      </c>
    </row>
    <row r="208">
      <c r="A208" s="1">
        <v>207.0</v>
      </c>
      <c r="B208" s="1" t="s">
        <v>563</v>
      </c>
      <c r="C208" s="1" t="s">
        <v>26</v>
      </c>
      <c r="D208" s="1" t="s">
        <v>564</v>
      </c>
      <c r="E208" s="1" t="s">
        <v>564</v>
      </c>
      <c r="F208" s="1" t="s">
        <v>565</v>
      </c>
      <c r="G208" s="1" t="b">
        <v>1</v>
      </c>
      <c r="I208" s="1" t="s">
        <v>17</v>
      </c>
      <c r="J208" s="1" t="b">
        <v>1</v>
      </c>
      <c r="K208" s="2">
        <v>45242.0</v>
      </c>
      <c r="L208" s="1" t="s">
        <v>31</v>
      </c>
      <c r="M208" s="3" t="str">
        <f t="shared" si="1"/>
        <v>✅ OK</v>
      </c>
      <c r="N208" s="3" t="str">
        <f t="shared" si="2"/>
        <v>OK</v>
      </c>
      <c r="O208" s="3" t="str">
        <f t="shared" si="3"/>
        <v>COMPLIANT</v>
      </c>
    </row>
    <row r="209">
      <c r="A209" s="1">
        <v>208.0</v>
      </c>
      <c r="B209" s="1" t="s">
        <v>566</v>
      </c>
      <c r="C209" s="1" t="s">
        <v>41</v>
      </c>
      <c r="D209" s="1" t="s">
        <v>79</v>
      </c>
      <c r="E209" s="1" t="s">
        <v>79</v>
      </c>
      <c r="F209" s="1" t="s">
        <v>567</v>
      </c>
      <c r="G209" s="1" t="b">
        <v>1</v>
      </c>
      <c r="H209" s="1" t="s">
        <v>19</v>
      </c>
      <c r="I209" s="1" t="s">
        <v>17</v>
      </c>
      <c r="J209" s="1" t="b">
        <v>0</v>
      </c>
      <c r="K209" s="1" t="s">
        <v>568</v>
      </c>
      <c r="L209" s="1" t="s">
        <v>20</v>
      </c>
      <c r="M209" s="3" t="str">
        <f t="shared" si="1"/>
        <v>✅ OK</v>
      </c>
      <c r="N209" s="3" t="str">
        <f t="shared" si="2"/>
        <v>OK</v>
      </c>
      <c r="O209" s="3" t="str">
        <f t="shared" si="3"/>
        <v>COMPLIANT</v>
      </c>
    </row>
    <row r="210">
      <c r="A210" s="1">
        <v>209.0</v>
      </c>
      <c r="B210" s="1" t="s">
        <v>569</v>
      </c>
      <c r="C210" s="1" t="s">
        <v>41</v>
      </c>
      <c r="D210" s="1" t="s">
        <v>144</v>
      </c>
      <c r="E210" s="1" t="s">
        <v>144</v>
      </c>
      <c r="F210" s="1" t="s">
        <v>570</v>
      </c>
      <c r="G210" s="1" t="b">
        <v>0</v>
      </c>
      <c r="H210" s="1" t="s">
        <v>19</v>
      </c>
      <c r="I210" s="1" t="s">
        <v>24</v>
      </c>
      <c r="J210" s="1" t="b">
        <v>1</v>
      </c>
      <c r="K210" s="2">
        <v>45172.0</v>
      </c>
      <c r="L210" s="1" t="s">
        <v>31</v>
      </c>
      <c r="M210" s="3" t="str">
        <f t="shared" si="1"/>
        <v>✅ OK</v>
      </c>
      <c r="N210" s="3" t="str">
        <f t="shared" si="2"/>
        <v>OK</v>
      </c>
      <c r="O210" s="3" t="str">
        <f t="shared" si="3"/>
        <v>COMPLIANT</v>
      </c>
    </row>
    <row r="211">
      <c r="A211" s="1">
        <v>210.0</v>
      </c>
      <c r="B211" s="1" t="s">
        <v>571</v>
      </c>
      <c r="C211" s="1" t="s">
        <v>47</v>
      </c>
      <c r="D211" s="1" t="s">
        <v>572</v>
      </c>
      <c r="E211" s="1" t="s">
        <v>572</v>
      </c>
      <c r="F211" s="1" t="s">
        <v>573</v>
      </c>
      <c r="G211" s="1" t="b">
        <v>0</v>
      </c>
      <c r="H211" s="1" t="s">
        <v>19</v>
      </c>
      <c r="I211" s="1" t="s">
        <v>35</v>
      </c>
      <c r="J211" s="1" t="b">
        <v>0</v>
      </c>
      <c r="K211" s="2">
        <v>45480.0</v>
      </c>
      <c r="L211" s="1" t="s">
        <v>31</v>
      </c>
      <c r="M211" s="3" t="str">
        <f t="shared" si="1"/>
        <v>✅ OK</v>
      </c>
      <c r="N211" s="3" t="str">
        <f t="shared" si="2"/>
        <v>OK</v>
      </c>
      <c r="O211" s="3" t="str">
        <f t="shared" si="3"/>
        <v>COMPLIANT</v>
      </c>
    </row>
    <row r="212">
      <c r="A212" s="1">
        <v>211.0</v>
      </c>
      <c r="B212" s="1" t="s">
        <v>337</v>
      </c>
      <c r="C212" s="1" t="s">
        <v>41</v>
      </c>
      <c r="D212" s="1" t="s">
        <v>42</v>
      </c>
      <c r="E212" s="1" t="s">
        <v>42</v>
      </c>
      <c r="F212" s="1" t="s">
        <v>574</v>
      </c>
      <c r="G212" s="1" t="b">
        <v>1</v>
      </c>
      <c r="H212" s="1" t="s">
        <v>29</v>
      </c>
      <c r="I212" s="1" t="s">
        <v>35</v>
      </c>
      <c r="J212" s="1" t="b">
        <v>0</v>
      </c>
      <c r="K212" s="2">
        <v>45326.0</v>
      </c>
      <c r="L212" s="1" t="s">
        <v>20</v>
      </c>
      <c r="M212" s="3" t="str">
        <f t="shared" si="1"/>
        <v>✅ OK</v>
      </c>
      <c r="N212" s="3" t="str">
        <f t="shared" si="2"/>
        <v>OK</v>
      </c>
      <c r="O212" s="3" t="str">
        <f t="shared" si="3"/>
        <v>COMPLIANT</v>
      </c>
    </row>
    <row r="213">
      <c r="A213" s="1">
        <v>212.0</v>
      </c>
      <c r="B213" s="1" t="s">
        <v>566</v>
      </c>
      <c r="C213" s="1" t="s">
        <v>57</v>
      </c>
      <c r="D213" s="1" t="s">
        <v>22</v>
      </c>
      <c r="E213" s="1" t="s">
        <v>22</v>
      </c>
      <c r="F213" s="1" t="s">
        <v>575</v>
      </c>
      <c r="G213" s="1" t="b">
        <v>0</v>
      </c>
      <c r="H213" s="1" t="s">
        <v>29</v>
      </c>
      <c r="I213" s="1" t="s">
        <v>35</v>
      </c>
      <c r="J213" s="1" t="b">
        <v>1</v>
      </c>
      <c r="K213" s="1" t="s">
        <v>576</v>
      </c>
      <c r="L213" s="1" t="s">
        <v>20</v>
      </c>
      <c r="M213" s="3" t="str">
        <f t="shared" si="1"/>
        <v>✅ OK</v>
      </c>
      <c r="N213" s="3" t="str">
        <f t="shared" si="2"/>
        <v>OK</v>
      </c>
      <c r="O213" s="3" t="str">
        <f t="shared" si="3"/>
        <v>COMPLIANT</v>
      </c>
    </row>
    <row r="214">
      <c r="A214" s="1">
        <v>213.0</v>
      </c>
      <c r="B214" s="1" t="s">
        <v>577</v>
      </c>
      <c r="C214" s="1" t="s">
        <v>16</v>
      </c>
      <c r="D214" s="1" t="s">
        <v>578</v>
      </c>
      <c r="E214" s="1" t="s">
        <v>578</v>
      </c>
      <c r="F214" s="1" t="s">
        <v>579</v>
      </c>
      <c r="G214" s="1" t="b">
        <v>0</v>
      </c>
      <c r="H214" s="1" t="s">
        <v>19</v>
      </c>
      <c r="I214" s="1" t="s">
        <v>35</v>
      </c>
      <c r="J214" s="1" t="b">
        <v>1</v>
      </c>
      <c r="K214" s="2">
        <v>45575.0</v>
      </c>
      <c r="L214" s="1" t="s">
        <v>20</v>
      </c>
      <c r="M214" s="3" t="str">
        <f t="shared" si="1"/>
        <v>✅ OK</v>
      </c>
      <c r="N214" s="3" t="str">
        <f t="shared" si="2"/>
        <v>OK</v>
      </c>
      <c r="O214" s="3" t="str">
        <f t="shared" si="3"/>
        <v>COMPLIANT</v>
      </c>
    </row>
    <row r="215">
      <c r="A215" s="1">
        <v>214.0</v>
      </c>
      <c r="B215" s="1" t="s">
        <v>479</v>
      </c>
      <c r="C215" s="1" t="s">
        <v>47</v>
      </c>
      <c r="D215" s="1" t="s">
        <v>173</v>
      </c>
      <c r="E215" s="1" t="s">
        <v>173</v>
      </c>
      <c r="F215" s="1" t="s">
        <v>580</v>
      </c>
      <c r="G215" s="1" t="b">
        <v>1</v>
      </c>
      <c r="H215" s="1" t="s">
        <v>29</v>
      </c>
      <c r="I215" s="1" t="s">
        <v>35</v>
      </c>
      <c r="J215" s="1" t="b">
        <v>0</v>
      </c>
      <c r="K215" s="1" t="s">
        <v>581</v>
      </c>
      <c r="L215" s="1" t="s">
        <v>20</v>
      </c>
      <c r="M215" s="3" t="str">
        <f t="shared" si="1"/>
        <v>✅ OK</v>
      </c>
      <c r="N215" s="3" t="str">
        <f t="shared" si="2"/>
        <v>OK</v>
      </c>
      <c r="O215" s="3" t="str">
        <f t="shared" si="3"/>
        <v>COMPLIANT</v>
      </c>
    </row>
    <row r="216">
      <c r="A216" s="1">
        <v>215.0</v>
      </c>
      <c r="B216" s="1" t="s">
        <v>582</v>
      </c>
      <c r="C216" s="1" t="s">
        <v>57</v>
      </c>
      <c r="D216" s="1" t="s">
        <v>33</v>
      </c>
      <c r="E216" s="1" t="s">
        <v>173</v>
      </c>
      <c r="F216" s="1" t="s">
        <v>583</v>
      </c>
      <c r="G216" s="1" t="b">
        <v>1</v>
      </c>
      <c r="H216" s="1" t="s">
        <v>44</v>
      </c>
      <c r="I216" s="1" t="s">
        <v>17</v>
      </c>
      <c r="J216" s="1" t="b">
        <v>0</v>
      </c>
      <c r="K216" s="1" t="s">
        <v>584</v>
      </c>
      <c r="L216" s="1" t="s">
        <v>31</v>
      </c>
      <c r="M216" s="3" t="str">
        <f t="shared" si="1"/>
        <v>✅ OK</v>
      </c>
      <c r="N216" s="3" t="str">
        <f t="shared" si="2"/>
        <v>🚩 FRAUD ALERT</v>
      </c>
      <c r="O216" s="3" t="str">
        <f t="shared" si="3"/>
        <v>CRITICAL</v>
      </c>
    </row>
    <row r="217">
      <c r="A217" s="1">
        <v>216.0</v>
      </c>
      <c r="B217" s="1" t="s">
        <v>366</v>
      </c>
      <c r="C217" s="1" t="s">
        <v>47</v>
      </c>
      <c r="D217" s="1" t="s">
        <v>42</v>
      </c>
      <c r="E217" s="1" t="s">
        <v>173</v>
      </c>
      <c r="F217" s="1" t="s">
        <v>585</v>
      </c>
      <c r="G217" s="1" t="b">
        <v>0</v>
      </c>
      <c r="H217" s="1" t="s">
        <v>19</v>
      </c>
      <c r="I217" s="1" t="s">
        <v>35</v>
      </c>
      <c r="J217" s="1" t="b">
        <v>0</v>
      </c>
      <c r="K217" s="1" t="s">
        <v>586</v>
      </c>
      <c r="L217" s="1" t="s">
        <v>20</v>
      </c>
      <c r="M217" s="3" t="str">
        <f t="shared" si="1"/>
        <v>✅ OK</v>
      </c>
      <c r="N217" s="3" t="str">
        <f t="shared" si="2"/>
        <v>🚩 FRAUD ALERT</v>
      </c>
      <c r="O217" s="3" t="str">
        <f t="shared" si="3"/>
        <v>CRITICAL</v>
      </c>
    </row>
    <row r="218">
      <c r="A218" s="1">
        <v>217.0</v>
      </c>
      <c r="B218" s="1" t="s">
        <v>587</v>
      </c>
      <c r="C218" s="1" t="s">
        <v>47</v>
      </c>
      <c r="D218" s="1" t="s">
        <v>42</v>
      </c>
      <c r="E218" s="1" t="s">
        <v>79</v>
      </c>
      <c r="F218" s="1" t="s">
        <v>588</v>
      </c>
      <c r="G218" s="1" t="b">
        <v>1</v>
      </c>
      <c r="H218" s="1" t="s">
        <v>19</v>
      </c>
      <c r="I218" s="1" t="s">
        <v>24</v>
      </c>
      <c r="J218" s="1" t="b">
        <v>0</v>
      </c>
      <c r="K218" s="1" t="s">
        <v>589</v>
      </c>
      <c r="L218" s="1" t="s">
        <v>20</v>
      </c>
      <c r="M218" s="3" t="str">
        <f t="shared" si="1"/>
        <v>✅ OK</v>
      </c>
      <c r="N218" s="3" t="str">
        <f t="shared" si="2"/>
        <v>🚩 FRAUD ALERT</v>
      </c>
      <c r="O218" s="3" t="str">
        <f t="shared" si="3"/>
        <v>CRITICAL</v>
      </c>
    </row>
    <row r="219">
      <c r="A219" s="1">
        <v>218.0</v>
      </c>
      <c r="B219" s="1" t="s">
        <v>590</v>
      </c>
      <c r="C219" s="1" t="s">
        <v>47</v>
      </c>
      <c r="D219" s="1" t="s">
        <v>79</v>
      </c>
      <c r="E219" s="1" t="s">
        <v>79</v>
      </c>
      <c r="F219" s="1" t="s">
        <v>591</v>
      </c>
      <c r="G219" s="1" t="b">
        <v>0</v>
      </c>
      <c r="H219" s="1" t="s">
        <v>19</v>
      </c>
      <c r="I219" s="1" t="s">
        <v>35</v>
      </c>
      <c r="J219" s="1" t="b">
        <v>1</v>
      </c>
      <c r="K219" s="1" t="s">
        <v>592</v>
      </c>
      <c r="L219" s="1" t="s">
        <v>20</v>
      </c>
      <c r="M219" s="3" t="str">
        <f t="shared" si="1"/>
        <v>✅ OK</v>
      </c>
      <c r="N219" s="3" t="str">
        <f t="shared" si="2"/>
        <v>OK</v>
      </c>
      <c r="O219" s="3" t="str">
        <f t="shared" si="3"/>
        <v>COMPLIANT</v>
      </c>
    </row>
    <row r="220">
      <c r="A220" s="1">
        <v>219.0</v>
      </c>
      <c r="B220" s="1" t="s">
        <v>593</v>
      </c>
      <c r="C220" s="1" t="s">
        <v>16</v>
      </c>
      <c r="D220" s="1" t="s">
        <v>42</v>
      </c>
      <c r="E220" s="1" t="s">
        <v>42</v>
      </c>
      <c r="F220" s="1" t="s">
        <v>594</v>
      </c>
      <c r="G220" s="1" t="b">
        <v>1</v>
      </c>
      <c r="H220" s="1" t="s">
        <v>29</v>
      </c>
      <c r="I220" s="1" t="s">
        <v>17</v>
      </c>
      <c r="J220" s="1" t="b">
        <v>1</v>
      </c>
      <c r="K220" s="1" t="s">
        <v>106</v>
      </c>
      <c r="L220" s="1" t="s">
        <v>20</v>
      </c>
      <c r="M220" s="3" t="str">
        <f t="shared" si="1"/>
        <v>✅ OK</v>
      </c>
      <c r="N220" s="3" t="str">
        <f t="shared" si="2"/>
        <v>OK</v>
      </c>
      <c r="O220" s="3" t="str">
        <f t="shared" si="3"/>
        <v>COMPLIANT</v>
      </c>
    </row>
    <row r="221">
      <c r="A221" s="1">
        <v>220.0</v>
      </c>
      <c r="B221" s="1" t="s">
        <v>595</v>
      </c>
      <c r="C221" s="1" t="s">
        <v>47</v>
      </c>
      <c r="D221" s="1" t="s">
        <v>79</v>
      </c>
      <c r="E221" s="1" t="s">
        <v>79</v>
      </c>
      <c r="F221" s="1" t="s">
        <v>596</v>
      </c>
      <c r="G221" s="1" t="b">
        <v>1</v>
      </c>
      <c r="H221" s="1" t="s">
        <v>19</v>
      </c>
      <c r="I221" s="1" t="s">
        <v>17</v>
      </c>
      <c r="J221" s="1" t="b">
        <v>0</v>
      </c>
      <c r="K221" s="2">
        <v>44988.0</v>
      </c>
      <c r="L221" s="1" t="s">
        <v>20</v>
      </c>
      <c r="M221" s="3" t="str">
        <f t="shared" si="1"/>
        <v>✅ OK</v>
      </c>
      <c r="N221" s="3" t="str">
        <f t="shared" si="2"/>
        <v>OK</v>
      </c>
      <c r="O221" s="3" t="str">
        <f t="shared" si="3"/>
        <v>COMPLIANT</v>
      </c>
    </row>
    <row r="222">
      <c r="A222" s="1">
        <v>221.0</v>
      </c>
      <c r="B222" s="1" t="s">
        <v>46</v>
      </c>
      <c r="C222" s="1" t="s">
        <v>41</v>
      </c>
      <c r="D222" s="1" t="s">
        <v>33</v>
      </c>
      <c r="E222" s="1" t="s">
        <v>33</v>
      </c>
      <c r="F222" s="1" t="s">
        <v>597</v>
      </c>
      <c r="G222" s="1" t="b">
        <v>0</v>
      </c>
      <c r="H222" s="1" t="s">
        <v>29</v>
      </c>
      <c r="I222" s="1" t="s">
        <v>35</v>
      </c>
      <c r="J222" s="1" t="b">
        <v>0</v>
      </c>
      <c r="K222" s="2">
        <v>45577.0</v>
      </c>
      <c r="L222" s="1" t="s">
        <v>20</v>
      </c>
      <c r="M222" s="3" t="str">
        <f t="shared" si="1"/>
        <v>✅ OK</v>
      </c>
      <c r="N222" s="3" t="str">
        <f t="shared" si="2"/>
        <v>OK</v>
      </c>
      <c r="O222" s="3" t="str">
        <f t="shared" si="3"/>
        <v>COMPLIANT</v>
      </c>
    </row>
    <row r="223">
      <c r="A223" s="1">
        <v>222.0</v>
      </c>
      <c r="B223" s="1" t="s">
        <v>598</v>
      </c>
      <c r="C223" s="1" t="s">
        <v>26</v>
      </c>
      <c r="D223" s="1" t="s">
        <v>42</v>
      </c>
      <c r="E223" s="1" t="s">
        <v>33</v>
      </c>
      <c r="F223" s="1" t="s">
        <v>599</v>
      </c>
      <c r="G223" s="1" t="b">
        <v>0</v>
      </c>
      <c r="H223" s="1" t="s">
        <v>29</v>
      </c>
      <c r="I223" s="1" t="s">
        <v>17</v>
      </c>
      <c r="J223" s="1" t="b">
        <v>0</v>
      </c>
      <c r="K223" s="2">
        <v>45387.0</v>
      </c>
      <c r="L223" s="1" t="s">
        <v>20</v>
      </c>
      <c r="M223" s="3" t="str">
        <f t="shared" si="1"/>
        <v>✅ OK</v>
      </c>
      <c r="N223" s="3" t="str">
        <f t="shared" si="2"/>
        <v>🚩 FRAUD ALERT</v>
      </c>
      <c r="O223" s="3" t="str">
        <f t="shared" si="3"/>
        <v>CRITICAL</v>
      </c>
    </row>
    <row r="224">
      <c r="A224" s="1">
        <v>223.0</v>
      </c>
      <c r="B224" s="1" t="s">
        <v>600</v>
      </c>
      <c r="C224" s="1" t="s">
        <v>57</v>
      </c>
      <c r="D224" s="1" t="s">
        <v>74</v>
      </c>
      <c r="E224" s="1" t="s">
        <v>33</v>
      </c>
      <c r="F224" s="1" t="s">
        <v>601</v>
      </c>
      <c r="G224" s="1" t="b">
        <v>1</v>
      </c>
      <c r="H224" s="1" t="s">
        <v>19</v>
      </c>
      <c r="I224" s="1" t="s">
        <v>24</v>
      </c>
      <c r="J224" s="1" t="b">
        <v>0</v>
      </c>
      <c r="K224" s="1" t="s">
        <v>602</v>
      </c>
      <c r="L224" s="1" t="s">
        <v>20</v>
      </c>
      <c r="M224" s="3" t="str">
        <f t="shared" si="1"/>
        <v>✅ OK</v>
      </c>
      <c r="N224" s="3" t="str">
        <f t="shared" si="2"/>
        <v>🚩 FRAUD ALERT</v>
      </c>
      <c r="O224" s="3" t="str">
        <f t="shared" si="3"/>
        <v>CRITICAL</v>
      </c>
    </row>
    <row r="225">
      <c r="A225" s="1">
        <v>224.0</v>
      </c>
      <c r="B225" s="1" t="s">
        <v>603</v>
      </c>
      <c r="C225" s="1" t="s">
        <v>57</v>
      </c>
      <c r="D225" s="1" t="s">
        <v>141</v>
      </c>
      <c r="E225" s="1" t="s">
        <v>141</v>
      </c>
      <c r="F225" s="1" t="s">
        <v>604</v>
      </c>
      <c r="G225" s="1" t="b">
        <v>1</v>
      </c>
      <c r="H225" s="1" t="s">
        <v>29</v>
      </c>
      <c r="I225" s="1" t="s">
        <v>35</v>
      </c>
      <c r="J225" s="1" t="b">
        <v>0</v>
      </c>
      <c r="K225" s="2">
        <v>45817.0</v>
      </c>
      <c r="L225" s="1" t="s">
        <v>31</v>
      </c>
      <c r="M225" s="3" t="str">
        <f t="shared" si="1"/>
        <v>✅ OK</v>
      </c>
      <c r="N225" s="3" t="str">
        <f t="shared" si="2"/>
        <v>OK</v>
      </c>
      <c r="O225" s="3" t="str">
        <f t="shared" si="3"/>
        <v>COMPLIANT</v>
      </c>
    </row>
    <row r="226">
      <c r="A226" s="1">
        <v>225.0</v>
      </c>
      <c r="B226" s="1" t="s">
        <v>593</v>
      </c>
      <c r="C226" s="1" t="s">
        <v>41</v>
      </c>
      <c r="D226" s="1" t="s">
        <v>605</v>
      </c>
      <c r="E226" s="1" t="s">
        <v>605</v>
      </c>
      <c r="F226" s="1" t="s">
        <v>606</v>
      </c>
      <c r="G226" s="1" t="b">
        <v>1</v>
      </c>
      <c r="H226" s="1" t="s">
        <v>29</v>
      </c>
      <c r="I226" s="1" t="s">
        <v>17</v>
      </c>
      <c r="J226" s="1" t="b">
        <v>1</v>
      </c>
      <c r="K226" s="2">
        <v>45179.0</v>
      </c>
      <c r="L226" s="1" t="s">
        <v>31</v>
      </c>
      <c r="M226" s="3" t="str">
        <f t="shared" si="1"/>
        <v>✅ OK</v>
      </c>
      <c r="N226" s="3" t="str">
        <f t="shared" si="2"/>
        <v>OK</v>
      </c>
      <c r="O226" s="3" t="str">
        <f t="shared" si="3"/>
        <v>COMPLIANT</v>
      </c>
    </row>
    <row r="227">
      <c r="A227" s="1">
        <v>226.0</v>
      </c>
      <c r="B227" s="1" t="s">
        <v>274</v>
      </c>
      <c r="C227" s="1" t="s">
        <v>41</v>
      </c>
      <c r="D227" s="1" t="s">
        <v>438</v>
      </c>
      <c r="E227" s="1" t="s">
        <v>33</v>
      </c>
      <c r="F227" s="1" t="s">
        <v>607</v>
      </c>
      <c r="G227" s="1" t="b">
        <v>1</v>
      </c>
      <c r="I227" s="1" t="s">
        <v>24</v>
      </c>
      <c r="J227" s="1" t="b">
        <v>1</v>
      </c>
      <c r="K227" s="1" t="s">
        <v>608</v>
      </c>
      <c r="L227" s="1" t="s">
        <v>20</v>
      </c>
      <c r="M227" s="3" t="str">
        <f t="shared" si="1"/>
        <v>✅ OK</v>
      </c>
      <c r="N227" s="3" t="str">
        <f t="shared" si="2"/>
        <v>🚩 FRAUD ALERT</v>
      </c>
      <c r="O227" s="3" t="str">
        <f t="shared" si="3"/>
        <v>CRITICAL</v>
      </c>
    </row>
    <row r="228">
      <c r="A228" s="1">
        <v>227.0</v>
      </c>
      <c r="B228" s="1" t="s">
        <v>577</v>
      </c>
      <c r="C228" s="1" t="s">
        <v>16</v>
      </c>
      <c r="D228" s="1" t="s">
        <v>74</v>
      </c>
      <c r="E228" s="1" t="s">
        <v>33</v>
      </c>
      <c r="F228" s="1" t="s">
        <v>609</v>
      </c>
      <c r="G228" s="1" t="b">
        <v>0</v>
      </c>
      <c r="H228" s="1" t="s">
        <v>44</v>
      </c>
      <c r="I228" s="1" t="s">
        <v>17</v>
      </c>
      <c r="J228" s="1" t="b">
        <v>1</v>
      </c>
      <c r="K228" s="2">
        <v>45696.0</v>
      </c>
      <c r="L228" s="1" t="s">
        <v>31</v>
      </c>
      <c r="M228" s="3" t="str">
        <f t="shared" si="1"/>
        <v>✅ OK</v>
      </c>
      <c r="N228" s="3" t="str">
        <f t="shared" si="2"/>
        <v>🚩 FRAUD ALERT</v>
      </c>
      <c r="O228" s="3" t="str">
        <f t="shared" si="3"/>
        <v>CRITICAL</v>
      </c>
    </row>
    <row r="229">
      <c r="A229" s="1">
        <v>228.0</v>
      </c>
      <c r="B229" s="1" t="s">
        <v>610</v>
      </c>
      <c r="C229" s="1" t="s">
        <v>57</v>
      </c>
      <c r="D229" s="1" t="s">
        <v>69</v>
      </c>
      <c r="E229" s="1" t="s">
        <v>69</v>
      </c>
      <c r="F229" s="1" t="s">
        <v>611</v>
      </c>
      <c r="G229" s="1" t="b">
        <v>1</v>
      </c>
      <c r="H229" s="1" t="s">
        <v>19</v>
      </c>
      <c r="I229" s="1" t="s">
        <v>35</v>
      </c>
      <c r="J229" s="1" t="b">
        <v>1</v>
      </c>
      <c r="K229" s="2">
        <v>45963.0</v>
      </c>
      <c r="L229" s="1" t="s">
        <v>20</v>
      </c>
      <c r="M229" s="3" t="str">
        <f t="shared" si="1"/>
        <v>✅ OK</v>
      </c>
      <c r="N229" s="3" t="str">
        <f t="shared" si="2"/>
        <v>OK</v>
      </c>
      <c r="O229" s="3" t="str">
        <f t="shared" si="3"/>
        <v>COMPLIANT</v>
      </c>
    </row>
    <row r="230">
      <c r="A230" s="1">
        <v>229.0</v>
      </c>
      <c r="B230" s="1" t="s">
        <v>162</v>
      </c>
      <c r="C230" s="1" t="s">
        <v>57</v>
      </c>
      <c r="D230" s="1" t="s">
        <v>101</v>
      </c>
      <c r="E230" s="1" t="s">
        <v>101</v>
      </c>
      <c r="F230" s="1" t="s">
        <v>612</v>
      </c>
      <c r="G230" s="1" t="b">
        <v>1</v>
      </c>
      <c r="H230" s="1" t="s">
        <v>44</v>
      </c>
      <c r="I230" s="1" t="s">
        <v>24</v>
      </c>
      <c r="J230" s="1" t="b">
        <v>1</v>
      </c>
      <c r="K230" s="2">
        <v>45202.0</v>
      </c>
      <c r="L230" s="1" t="s">
        <v>20</v>
      </c>
      <c r="M230" s="3" t="str">
        <f t="shared" si="1"/>
        <v>✅ OK</v>
      </c>
      <c r="N230" s="3" t="str">
        <f t="shared" si="2"/>
        <v>OK</v>
      </c>
      <c r="O230" s="3" t="str">
        <f t="shared" si="3"/>
        <v>COMPLIANT</v>
      </c>
    </row>
    <row r="231">
      <c r="A231" s="1">
        <v>230.0</v>
      </c>
      <c r="B231" s="1" t="s">
        <v>613</v>
      </c>
      <c r="C231" s="1" t="s">
        <v>16</v>
      </c>
      <c r="D231" s="1" t="s">
        <v>245</v>
      </c>
      <c r="E231" s="1" t="s">
        <v>245</v>
      </c>
      <c r="F231" s="1" t="s">
        <v>614</v>
      </c>
      <c r="G231" s="1" t="b">
        <v>0</v>
      </c>
      <c r="H231" s="1" t="s">
        <v>19</v>
      </c>
      <c r="I231" s="1" t="s">
        <v>35</v>
      </c>
      <c r="J231" s="1" t="b">
        <v>1</v>
      </c>
      <c r="K231" s="1" t="s">
        <v>615</v>
      </c>
      <c r="L231" s="1" t="s">
        <v>31</v>
      </c>
      <c r="M231" s="3" t="str">
        <f t="shared" si="1"/>
        <v>✅ OK</v>
      </c>
      <c r="N231" s="3" t="str">
        <f t="shared" si="2"/>
        <v>OK</v>
      </c>
      <c r="O231" s="3" t="str">
        <f t="shared" si="3"/>
        <v>COMPLIANT</v>
      </c>
    </row>
    <row r="232">
      <c r="A232" s="1">
        <v>231.0</v>
      </c>
      <c r="B232" s="1" t="s">
        <v>498</v>
      </c>
      <c r="C232" s="1" t="s">
        <v>16</v>
      </c>
      <c r="D232" s="1" t="s">
        <v>79</v>
      </c>
      <c r="E232" s="1" t="s">
        <v>79</v>
      </c>
      <c r="F232" s="1" t="s">
        <v>616</v>
      </c>
      <c r="G232" s="1" t="b">
        <v>0</v>
      </c>
      <c r="H232" s="1" t="s">
        <v>29</v>
      </c>
      <c r="I232" s="1" t="s">
        <v>17</v>
      </c>
      <c r="J232" s="1" t="b">
        <v>0</v>
      </c>
      <c r="K232" s="2">
        <v>45598.0</v>
      </c>
      <c r="L232" s="1" t="s">
        <v>31</v>
      </c>
      <c r="M232" s="3" t="str">
        <f t="shared" si="1"/>
        <v>✅ OK</v>
      </c>
      <c r="N232" s="3" t="str">
        <f t="shared" si="2"/>
        <v>OK</v>
      </c>
      <c r="O232" s="3" t="str">
        <f t="shared" si="3"/>
        <v>COMPLIANT</v>
      </c>
    </row>
    <row r="233">
      <c r="A233" s="1">
        <v>232.0</v>
      </c>
      <c r="B233" s="1" t="s">
        <v>617</v>
      </c>
      <c r="C233" s="1" t="s">
        <v>26</v>
      </c>
      <c r="D233" s="1" t="s">
        <v>33</v>
      </c>
      <c r="E233" s="1" t="s">
        <v>33</v>
      </c>
      <c r="F233" s="1" t="s">
        <v>618</v>
      </c>
      <c r="G233" s="1" t="b">
        <v>0</v>
      </c>
      <c r="H233" s="1" t="s">
        <v>44</v>
      </c>
      <c r="I233" s="1" t="s">
        <v>17</v>
      </c>
      <c r="J233" s="1" t="b">
        <v>1</v>
      </c>
      <c r="K233" s="1" t="s">
        <v>619</v>
      </c>
      <c r="L233" s="1" t="s">
        <v>31</v>
      </c>
      <c r="M233" s="3" t="str">
        <f t="shared" si="1"/>
        <v>✅ OK</v>
      </c>
      <c r="N233" s="3" t="str">
        <f t="shared" si="2"/>
        <v>OK</v>
      </c>
      <c r="O233" s="3" t="str">
        <f t="shared" si="3"/>
        <v>COMPLIANT</v>
      </c>
    </row>
    <row r="234">
      <c r="A234" s="1">
        <v>233.0</v>
      </c>
      <c r="B234" s="1" t="s">
        <v>512</v>
      </c>
      <c r="C234" s="1" t="s">
        <v>41</v>
      </c>
      <c r="D234" s="1" t="s">
        <v>79</v>
      </c>
      <c r="E234" s="1" t="s">
        <v>79</v>
      </c>
      <c r="F234" s="1" t="s">
        <v>620</v>
      </c>
      <c r="G234" s="1" t="b">
        <v>0</v>
      </c>
      <c r="H234" s="1" t="s">
        <v>44</v>
      </c>
      <c r="I234" s="1" t="s">
        <v>24</v>
      </c>
      <c r="J234" s="1" t="b">
        <v>1</v>
      </c>
      <c r="K234" s="2">
        <v>45602.0</v>
      </c>
      <c r="L234" s="1" t="s">
        <v>20</v>
      </c>
      <c r="M234" s="3" t="str">
        <f t="shared" si="1"/>
        <v>✅ OK</v>
      </c>
      <c r="N234" s="3" t="str">
        <f t="shared" si="2"/>
        <v>OK</v>
      </c>
      <c r="O234" s="3" t="str">
        <f t="shared" si="3"/>
        <v>COMPLIANT</v>
      </c>
    </row>
    <row r="235">
      <c r="A235" s="1">
        <v>234.0</v>
      </c>
      <c r="B235" s="1" t="s">
        <v>621</v>
      </c>
      <c r="C235" s="1" t="s">
        <v>26</v>
      </c>
      <c r="D235" s="1" t="s">
        <v>144</v>
      </c>
      <c r="E235" s="1" t="s">
        <v>79</v>
      </c>
      <c r="F235" s="1" t="s">
        <v>622</v>
      </c>
      <c r="G235" s="1" t="b">
        <v>0</v>
      </c>
      <c r="H235" s="1" t="s">
        <v>44</v>
      </c>
      <c r="I235" s="1" t="s">
        <v>17</v>
      </c>
      <c r="J235" s="1" t="b">
        <v>1</v>
      </c>
      <c r="K235" s="2">
        <v>44959.0</v>
      </c>
      <c r="L235" s="1" t="s">
        <v>31</v>
      </c>
      <c r="M235" s="3" t="str">
        <f t="shared" si="1"/>
        <v>✅ OK</v>
      </c>
      <c r="N235" s="3" t="str">
        <f t="shared" si="2"/>
        <v>🚩 FRAUD ALERT</v>
      </c>
      <c r="O235" s="3" t="str">
        <f t="shared" si="3"/>
        <v>CRITICAL</v>
      </c>
    </row>
    <row r="236">
      <c r="A236" s="1">
        <v>235.0</v>
      </c>
      <c r="B236" s="1" t="s">
        <v>623</v>
      </c>
      <c r="C236" s="1" t="s">
        <v>16</v>
      </c>
      <c r="D236" s="1" t="s">
        <v>348</v>
      </c>
      <c r="E236" s="1" t="s">
        <v>79</v>
      </c>
      <c r="F236" s="1" t="s">
        <v>624</v>
      </c>
      <c r="G236" s="1" t="b">
        <v>1</v>
      </c>
      <c r="H236" s="1" t="s">
        <v>19</v>
      </c>
      <c r="I236" s="1" t="s">
        <v>17</v>
      </c>
      <c r="J236" s="1" t="b">
        <v>1</v>
      </c>
      <c r="K236" s="2">
        <v>45358.0</v>
      </c>
      <c r="L236" s="1" t="s">
        <v>31</v>
      </c>
      <c r="M236" s="3" t="str">
        <f t="shared" si="1"/>
        <v>✅ OK</v>
      </c>
      <c r="N236" s="3" t="str">
        <f t="shared" si="2"/>
        <v>🚩 FRAUD ALERT</v>
      </c>
      <c r="O236" s="3" t="str">
        <f t="shared" si="3"/>
        <v>CRITICAL</v>
      </c>
    </row>
    <row r="237">
      <c r="A237" s="1">
        <v>236.0</v>
      </c>
      <c r="B237" s="1" t="s">
        <v>625</v>
      </c>
      <c r="C237" s="1" t="s">
        <v>57</v>
      </c>
      <c r="D237" s="1" t="s">
        <v>79</v>
      </c>
      <c r="E237" s="1" t="s">
        <v>79</v>
      </c>
      <c r="F237" s="1" t="s">
        <v>626</v>
      </c>
      <c r="G237" s="1" t="b">
        <v>1</v>
      </c>
      <c r="H237" s="1" t="s">
        <v>44</v>
      </c>
      <c r="I237" s="1" t="s">
        <v>24</v>
      </c>
      <c r="J237" s="1" t="b">
        <v>0</v>
      </c>
      <c r="K237" s="2">
        <v>45482.0</v>
      </c>
      <c r="L237" s="1" t="s">
        <v>31</v>
      </c>
      <c r="M237" s="3" t="str">
        <f t="shared" si="1"/>
        <v>✅ OK</v>
      </c>
      <c r="N237" s="3" t="str">
        <f t="shared" si="2"/>
        <v>OK</v>
      </c>
      <c r="O237" s="3" t="str">
        <f t="shared" si="3"/>
        <v>COMPLIANT</v>
      </c>
    </row>
    <row r="238">
      <c r="A238" s="1">
        <v>237.0</v>
      </c>
      <c r="B238" s="1" t="s">
        <v>93</v>
      </c>
      <c r="C238" s="1" t="s">
        <v>41</v>
      </c>
      <c r="D238" s="1" t="s">
        <v>42</v>
      </c>
      <c r="E238" s="1" t="s">
        <v>79</v>
      </c>
      <c r="F238" s="1" t="s">
        <v>627</v>
      </c>
      <c r="G238" s="1" t="b">
        <v>0</v>
      </c>
      <c r="H238" s="1" t="s">
        <v>29</v>
      </c>
      <c r="I238" s="1" t="s">
        <v>35</v>
      </c>
      <c r="J238" s="1" t="b">
        <v>1</v>
      </c>
      <c r="K238" s="1" t="s">
        <v>628</v>
      </c>
      <c r="L238" s="1" t="s">
        <v>31</v>
      </c>
      <c r="M238" s="3" t="str">
        <f t="shared" si="1"/>
        <v>✅ OK</v>
      </c>
      <c r="N238" s="3" t="str">
        <f t="shared" si="2"/>
        <v>🚩 FRAUD ALERT</v>
      </c>
      <c r="O238" s="3" t="str">
        <f t="shared" si="3"/>
        <v>CRITICAL</v>
      </c>
    </row>
    <row r="239">
      <c r="A239" s="1">
        <v>238.0</v>
      </c>
      <c r="B239" s="1" t="s">
        <v>629</v>
      </c>
      <c r="C239" s="1" t="s">
        <v>41</v>
      </c>
      <c r="D239" s="1" t="s">
        <v>630</v>
      </c>
      <c r="E239" s="1" t="s">
        <v>630</v>
      </c>
      <c r="F239" s="1" t="s">
        <v>631</v>
      </c>
      <c r="G239" s="1" t="b">
        <v>0</v>
      </c>
      <c r="H239" s="1" t="s">
        <v>44</v>
      </c>
      <c r="I239" s="1" t="s">
        <v>24</v>
      </c>
      <c r="J239" s="1" t="b">
        <v>0</v>
      </c>
      <c r="K239" s="2">
        <v>45206.0</v>
      </c>
      <c r="L239" s="1" t="s">
        <v>20</v>
      </c>
      <c r="M239" s="3" t="str">
        <f t="shared" si="1"/>
        <v>✅ OK</v>
      </c>
      <c r="N239" s="3" t="str">
        <f t="shared" si="2"/>
        <v>OK</v>
      </c>
      <c r="O239" s="3" t="str">
        <f t="shared" si="3"/>
        <v>COMPLIANT</v>
      </c>
    </row>
    <row r="240">
      <c r="A240" s="1">
        <v>239.0</v>
      </c>
      <c r="B240" s="1" t="s">
        <v>632</v>
      </c>
      <c r="C240" s="1" t="s">
        <v>57</v>
      </c>
      <c r="D240" s="1" t="s">
        <v>79</v>
      </c>
      <c r="E240" s="1" t="s">
        <v>79</v>
      </c>
      <c r="F240" s="1" t="s">
        <v>633</v>
      </c>
      <c r="G240" s="1" t="b">
        <v>0</v>
      </c>
      <c r="H240" s="1" t="s">
        <v>29</v>
      </c>
      <c r="I240" s="1" t="s">
        <v>35</v>
      </c>
      <c r="J240" s="1" t="b">
        <v>0</v>
      </c>
      <c r="K240" s="2">
        <v>44962.0</v>
      </c>
      <c r="L240" s="1" t="s">
        <v>20</v>
      </c>
      <c r="M240" s="3" t="str">
        <f t="shared" si="1"/>
        <v>✅ OK</v>
      </c>
      <c r="N240" s="3" t="str">
        <f t="shared" si="2"/>
        <v>OK</v>
      </c>
      <c r="O240" s="3" t="str">
        <f t="shared" si="3"/>
        <v>COMPLIANT</v>
      </c>
    </row>
    <row r="241">
      <c r="A241" s="1">
        <v>240.0</v>
      </c>
      <c r="B241" s="1" t="s">
        <v>634</v>
      </c>
      <c r="C241" s="1" t="s">
        <v>47</v>
      </c>
      <c r="D241" s="1" t="s">
        <v>74</v>
      </c>
      <c r="E241" s="1" t="s">
        <v>74</v>
      </c>
      <c r="F241" s="1" t="s">
        <v>635</v>
      </c>
      <c r="G241" s="1" t="b">
        <v>0</v>
      </c>
      <c r="H241" s="1" t="s">
        <v>44</v>
      </c>
      <c r="I241" s="1" t="s">
        <v>24</v>
      </c>
      <c r="J241" s="1" t="b">
        <v>0</v>
      </c>
      <c r="K241" s="2">
        <v>45605.0</v>
      </c>
      <c r="L241" s="1" t="s">
        <v>31</v>
      </c>
      <c r="M241" s="3" t="str">
        <f t="shared" si="1"/>
        <v>✅ OK</v>
      </c>
      <c r="N241" s="3" t="str">
        <f t="shared" si="2"/>
        <v>OK</v>
      </c>
      <c r="O241" s="3" t="str">
        <f t="shared" si="3"/>
        <v>COMPLIANT</v>
      </c>
    </row>
    <row r="242">
      <c r="A242" s="1">
        <v>241.0</v>
      </c>
      <c r="B242" s="1" t="s">
        <v>484</v>
      </c>
      <c r="C242" s="1" t="s">
        <v>57</v>
      </c>
      <c r="D242" s="1" t="s">
        <v>79</v>
      </c>
      <c r="E242" s="1" t="s">
        <v>79</v>
      </c>
      <c r="F242" s="1" t="s">
        <v>636</v>
      </c>
      <c r="G242" s="1" t="b">
        <v>1</v>
      </c>
      <c r="H242" s="1" t="s">
        <v>44</v>
      </c>
      <c r="I242" s="1" t="s">
        <v>24</v>
      </c>
      <c r="J242" s="1" t="b">
        <v>0</v>
      </c>
      <c r="K242" s="1" t="s">
        <v>637</v>
      </c>
      <c r="L242" s="1" t="s">
        <v>31</v>
      </c>
      <c r="M242" s="3" t="str">
        <f t="shared" si="1"/>
        <v>✅ OK</v>
      </c>
      <c r="N242" s="3" t="str">
        <f t="shared" si="2"/>
        <v>OK</v>
      </c>
      <c r="O242" s="3" t="str">
        <f t="shared" si="3"/>
        <v>COMPLIANT</v>
      </c>
    </row>
    <row r="243">
      <c r="A243" s="1">
        <v>242.0</v>
      </c>
      <c r="B243" s="1" t="s">
        <v>323</v>
      </c>
      <c r="C243" s="1" t="s">
        <v>47</v>
      </c>
      <c r="D243" s="1" t="s">
        <v>79</v>
      </c>
      <c r="E243" s="1" t="s">
        <v>79</v>
      </c>
      <c r="F243" s="1" t="s">
        <v>638</v>
      </c>
      <c r="G243" s="1" t="b">
        <v>0</v>
      </c>
      <c r="H243" s="1" t="s">
        <v>19</v>
      </c>
      <c r="I243" s="1" t="s">
        <v>17</v>
      </c>
      <c r="J243" s="1" t="b">
        <v>1</v>
      </c>
      <c r="K243" s="2">
        <v>45966.0</v>
      </c>
      <c r="L243" s="1" t="s">
        <v>20</v>
      </c>
      <c r="M243" s="3" t="str">
        <f t="shared" si="1"/>
        <v>✅ OK</v>
      </c>
      <c r="N243" s="3" t="str">
        <f t="shared" si="2"/>
        <v>OK</v>
      </c>
      <c r="O243" s="3" t="str">
        <f t="shared" si="3"/>
        <v>COMPLIANT</v>
      </c>
    </row>
    <row r="244">
      <c r="A244" s="1">
        <v>243.0</v>
      </c>
      <c r="B244" s="1" t="s">
        <v>170</v>
      </c>
      <c r="C244" s="1" t="s">
        <v>16</v>
      </c>
      <c r="D244" s="1" t="s">
        <v>79</v>
      </c>
      <c r="E244" s="1" t="s">
        <v>79</v>
      </c>
      <c r="F244" s="1" t="s">
        <v>639</v>
      </c>
      <c r="G244" s="1" t="b">
        <v>0</v>
      </c>
      <c r="H244" s="1" t="s">
        <v>640</v>
      </c>
      <c r="I244" s="1" t="s">
        <v>24</v>
      </c>
      <c r="J244" s="1" t="b">
        <v>1</v>
      </c>
      <c r="K244" s="1" t="s">
        <v>192</v>
      </c>
      <c r="L244" s="1" t="s">
        <v>31</v>
      </c>
      <c r="M244" s="3" t="str">
        <f t="shared" si="1"/>
        <v>✅ OK</v>
      </c>
      <c r="N244" s="3" t="str">
        <f t="shared" si="2"/>
        <v>OK</v>
      </c>
      <c r="O244" s="3" t="str">
        <f t="shared" si="3"/>
        <v>COMPLIANT</v>
      </c>
    </row>
    <row r="245">
      <c r="A245" s="1">
        <v>244.0</v>
      </c>
      <c r="B245" s="1" t="s">
        <v>641</v>
      </c>
      <c r="C245" s="1" t="s">
        <v>16</v>
      </c>
      <c r="D245" s="1" t="s">
        <v>642</v>
      </c>
      <c r="E245" s="1" t="s">
        <v>173</v>
      </c>
      <c r="F245" s="1" t="s">
        <v>643</v>
      </c>
      <c r="G245" s="1" t="b">
        <v>0</v>
      </c>
      <c r="H245" s="1" t="s">
        <v>640</v>
      </c>
      <c r="I245" s="1" t="s">
        <v>17</v>
      </c>
      <c r="J245" s="1" t="b">
        <v>0</v>
      </c>
      <c r="K245" s="1" t="s">
        <v>644</v>
      </c>
      <c r="L245" s="1" t="s">
        <v>20</v>
      </c>
      <c r="M245" s="3" t="str">
        <f t="shared" si="1"/>
        <v>✅ OK</v>
      </c>
      <c r="N245" s="3" t="str">
        <f t="shared" si="2"/>
        <v>🚩 FRAUD ALERT</v>
      </c>
      <c r="O245" s="3" t="str">
        <f t="shared" si="3"/>
        <v>CRITICAL</v>
      </c>
    </row>
    <row r="246">
      <c r="A246" s="1">
        <v>245.0</v>
      </c>
      <c r="B246" s="1" t="s">
        <v>629</v>
      </c>
      <c r="C246" s="1" t="s">
        <v>47</v>
      </c>
      <c r="D246" s="1" t="s">
        <v>66</v>
      </c>
      <c r="E246" s="1" t="s">
        <v>66</v>
      </c>
      <c r="F246" s="1" t="s">
        <v>645</v>
      </c>
      <c r="G246" s="1" t="b">
        <v>1</v>
      </c>
      <c r="H246" s="1" t="s">
        <v>44</v>
      </c>
      <c r="I246" s="1" t="s">
        <v>24</v>
      </c>
      <c r="J246" s="1" t="b">
        <v>1</v>
      </c>
      <c r="K246" s="1" t="s">
        <v>205</v>
      </c>
      <c r="L246" s="1" t="s">
        <v>31</v>
      </c>
      <c r="M246" s="3" t="str">
        <f t="shared" si="1"/>
        <v>✅ OK</v>
      </c>
      <c r="N246" s="3" t="str">
        <f t="shared" si="2"/>
        <v>OK</v>
      </c>
      <c r="O246" s="3" t="str">
        <f t="shared" si="3"/>
        <v>COMPLIANT</v>
      </c>
    </row>
    <row r="247">
      <c r="A247" s="1">
        <v>246.0</v>
      </c>
      <c r="B247" s="1" t="s">
        <v>646</v>
      </c>
      <c r="C247" s="1" t="s">
        <v>47</v>
      </c>
      <c r="D247" s="1" t="s">
        <v>280</v>
      </c>
      <c r="E247" s="1" t="s">
        <v>173</v>
      </c>
      <c r="F247" s="1" t="s">
        <v>647</v>
      </c>
      <c r="G247" s="1" t="b">
        <v>1</v>
      </c>
      <c r="H247" s="1" t="s">
        <v>29</v>
      </c>
      <c r="I247" s="1" t="s">
        <v>24</v>
      </c>
      <c r="J247" s="1" t="b">
        <v>0</v>
      </c>
      <c r="K247" s="1" t="s">
        <v>648</v>
      </c>
      <c r="L247" s="1" t="s">
        <v>20</v>
      </c>
      <c r="M247" s="3" t="str">
        <f t="shared" si="1"/>
        <v>✅ OK</v>
      </c>
      <c r="N247" s="3" t="str">
        <f t="shared" si="2"/>
        <v>🚩 FRAUD ALERT</v>
      </c>
      <c r="O247" s="3" t="str">
        <f t="shared" si="3"/>
        <v>CRITICAL</v>
      </c>
    </row>
    <row r="248">
      <c r="A248" s="1">
        <v>247.0</v>
      </c>
      <c r="B248" s="1" t="s">
        <v>649</v>
      </c>
      <c r="C248" s="1" t="s">
        <v>16</v>
      </c>
      <c r="D248" s="1" t="s">
        <v>650</v>
      </c>
      <c r="E248" s="1" t="s">
        <v>650</v>
      </c>
      <c r="F248" s="1" t="s">
        <v>651</v>
      </c>
      <c r="G248" s="1" t="b">
        <v>1</v>
      </c>
      <c r="H248" s="1" t="s">
        <v>640</v>
      </c>
      <c r="I248" s="1" t="s">
        <v>17</v>
      </c>
      <c r="J248" s="1" t="b">
        <v>0</v>
      </c>
      <c r="K248" s="1" t="s">
        <v>652</v>
      </c>
      <c r="L248" s="1" t="s">
        <v>31</v>
      </c>
      <c r="M248" s="3" t="str">
        <f t="shared" si="1"/>
        <v>✅ OK</v>
      </c>
      <c r="N248" s="3" t="str">
        <f t="shared" si="2"/>
        <v>OK</v>
      </c>
      <c r="O248" s="3" t="str">
        <f t="shared" si="3"/>
        <v>COMPLIANT</v>
      </c>
    </row>
    <row r="249">
      <c r="A249" s="1">
        <v>248.0</v>
      </c>
      <c r="B249" s="1" t="s">
        <v>653</v>
      </c>
      <c r="C249" s="1" t="s">
        <v>57</v>
      </c>
      <c r="D249" s="1" t="s">
        <v>74</v>
      </c>
      <c r="E249" s="1" t="s">
        <v>74</v>
      </c>
      <c r="F249" s="1" t="s">
        <v>654</v>
      </c>
      <c r="G249" s="1" t="b">
        <v>0</v>
      </c>
      <c r="H249" s="1" t="s">
        <v>29</v>
      </c>
      <c r="I249" s="1" t="s">
        <v>35</v>
      </c>
      <c r="J249" s="1" t="b">
        <v>1</v>
      </c>
      <c r="K249" s="1" t="s">
        <v>655</v>
      </c>
      <c r="L249" s="1" t="s">
        <v>31</v>
      </c>
      <c r="M249" s="3" t="str">
        <f t="shared" si="1"/>
        <v>✅ OK</v>
      </c>
      <c r="N249" s="3" t="str">
        <f t="shared" si="2"/>
        <v>OK</v>
      </c>
      <c r="O249" s="3" t="str">
        <f t="shared" si="3"/>
        <v>COMPLIANT</v>
      </c>
    </row>
    <row r="250">
      <c r="A250" s="1">
        <v>249.0</v>
      </c>
      <c r="B250" s="1" t="s">
        <v>411</v>
      </c>
      <c r="C250" s="1" t="s">
        <v>16</v>
      </c>
      <c r="D250" s="1" t="s">
        <v>400</v>
      </c>
      <c r="E250" s="1" t="s">
        <v>400</v>
      </c>
      <c r="F250" s="1" t="s">
        <v>656</v>
      </c>
      <c r="G250" s="1" t="b">
        <v>0</v>
      </c>
      <c r="H250" s="1" t="s">
        <v>640</v>
      </c>
      <c r="I250" s="1" t="s">
        <v>24</v>
      </c>
      <c r="J250" s="1" t="b">
        <v>1</v>
      </c>
      <c r="K250" s="2">
        <v>45514.0</v>
      </c>
      <c r="L250" s="1" t="s">
        <v>20</v>
      </c>
      <c r="M250" s="3" t="str">
        <f t="shared" si="1"/>
        <v>✅ OK</v>
      </c>
      <c r="N250" s="3" t="str">
        <f t="shared" si="2"/>
        <v>OK</v>
      </c>
      <c r="O250" s="3" t="str">
        <f t="shared" si="3"/>
        <v>COMPLIANT</v>
      </c>
    </row>
    <row r="251">
      <c r="A251" s="1">
        <v>250.0</v>
      </c>
      <c r="B251" s="1" t="s">
        <v>162</v>
      </c>
      <c r="C251" s="1" t="s">
        <v>47</v>
      </c>
      <c r="D251" s="1" t="s">
        <v>151</v>
      </c>
      <c r="E251" s="1" t="s">
        <v>151</v>
      </c>
      <c r="F251" s="1" t="s">
        <v>657</v>
      </c>
      <c r="G251" s="1" t="b">
        <v>0</v>
      </c>
      <c r="H251" s="1" t="s">
        <v>44</v>
      </c>
      <c r="I251" s="1" t="s">
        <v>17</v>
      </c>
      <c r="J251" s="1" t="b">
        <v>0</v>
      </c>
      <c r="K251" s="1" t="s">
        <v>658</v>
      </c>
      <c r="L251" s="1" t="s">
        <v>20</v>
      </c>
      <c r="M251" s="3" t="str">
        <f t="shared" si="1"/>
        <v>✅ OK</v>
      </c>
      <c r="N251" s="3" t="str">
        <f t="shared" si="2"/>
        <v>OK</v>
      </c>
      <c r="O251" s="3" t="str">
        <f t="shared" si="3"/>
        <v>COMPLIANT</v>
      </c>
    </row>
    <row r="252">
      <c r="A252" s="1">
        <v>251.0</v>
      </c>
      <c r="B252" s="1" t="s">
        <v>659</v>
      </c>
      <c r="C252" s="1" t="s">
        <v>57</v>
      </c>
      <c r="D252" s="1" t="s">
        <v>79</v>
      </c>
      <c r="E252" s="1" t="s">
        <v>79</v>
      </c>
      <c r="F252" s="1" t="s">
        <v>660</v>
      </c>
      <c r="G252" s="1" t="b">
        <v>1</v>
      </c>
      <c r="H252" s="1" t="s">
        <v>44</v>
      </c>
      <c r="I252" s="1" t="s">
        <v>35</v>
      </c>
      <c r="J252" s="1" t="b">
        <v>1</v>
      </c>
      <c r="K252" s="1" t="s">
        <v>661</v>
      </c>
      <c r="L252" s="1" t="s">
        <v>20</v>
      </c>
      <c r="M252" s="3" t="str">
        <f t="shared" si="1"/>
        <v>✅ OK</v>
      </c>
      <c r="N252" s="3" t="str">
        <f t="shared" si="2"/>
        <v>OK</v>
      </c>
      <c r="O252" s="3" t="str">
        <f t="shared" si="3"/>
        <v>COMPLIANT</v>
      </c>
    </row>
    <row r="253">
      <c r="A253" s="1">
        <v>252.0</v>
      </c>
      <c r="B253" s="1" t="s">
        <v>662</v>
      </c>
      <c r="C253" s="1" t="s">
        <v>57</v>
      </c>
      <c r="D253" s="1" t="s">
        <v>312</v>
      </c>
      <c r="E253" s="1" t="s">
        <v>312</v>
      </c>
      <c r="F253" s="1" t="s">
        <v>663</v>
      </c>
      <c r="G253" s="1" t="b">
        <v>1</v>
      </c>
      <c r="H253" s="1" t="s">
        <v>29</v>
      </c>
      <c r="I253" s="1" t="s">
        <v>17</v>
      </c>
      <c r="J253" s="1" t="b">
        <v>1</v>
      </c>
      <c r="K253" s="1" t="s">
        <v>664</v>
      </c>
      <c r="L253" s="1" t="s">
        <v>20</v>
      </c>
      <c r="M253" s="3" t="str">
        <f t="shared" si="1"/>
        <v>✅ OK</v>
      </c>
      <c r="N253" s="3" t="str">
        <f t="shared" si="2"/>
        <v>OK</v>
      </c>
      <c r="O253" s="3" t="str">
        <f t="shared" si="3"/>
        <v>COMPLIANT</v>
      </c>
    </row>
    <row r="254">
      <c r="A254" s="1">
        <v>253.0</v>
      </c>
      <c r="B254" s="1" t="s">
        <v>665</v>
      </c>
      <c r="C254" s="1" t="s">
        <v>47</v>
      </c>
      <c r="D254" s="1" t="s">
        <v>666</v>
      </c>
      <c r="E254" s="1" t="s">
        <v>666</v>
      </c>
      <c r="F254" s="1" t="s">
        <v>667</v>
      </c>
      <c r="G254" s="1" t="b">
        <v>0</v>
      </c>
      <c r="H254" s="1" t="s">
        <v>29</v>
      </c>
      <c r="I254" s="1" t="s">
        <v>35</v>
      </c>
      <c r="J254" s="1" t="b">
        <v>0</v>
      </c>
      <c r="K254" s="1" t="s">
        <v>668</v>
      </c>
      <c r="L254" s="1" t="s">
        <v>20</v>
      </c>
      <c r="M254" s="3" t="str">
        <f t="shared" si="1"/>
        <v>✅ OK</v>
      </c>
      <c r="N254" s="3" t="str">
        <f t="shared" si="2"/>
        <v>OK</v>
      </c>
      <c r="O254" s="3" t="str">
        <f t="shared" si="3"/>
        <v>COMPLIANT</v>
      </c>
    </row>
    <row r="255">
      <c r="A255" s="1">
        <v>254.0</v>
      </c>
      <c r="B255" s="1" t="s">
        <v>669</v>
      </c>
      <c r="C255" s="1" t="s">
        <v>26</v>
      </c>
      <c r="D255" s="1" t="s">
        <v>670</v>
      </c>
      <c r="E255" s="1" t="s">
        <v>670</v>
      </c>
      <c r="F255" s="1" t="s">
        <v>671</v>
      </c>
      <c r="G255" s="1" t="b">
        <v>1</v>
      </c>
      <c r="H255" s="1" t="s">
        <v>44</v>
      </c>
      <c r="I255" s="1" t="s">
        <v>24</v>
      </c>
      <c r="J255" s="1" t="b">
        <v>1</v>
      </c>
      <c r="K255" s="1" t="s">
        <v>672</v>
      </c>
      <c r="L255" s="1" t="s">
        <v>31</v>
      </c>
      <c r="M255" s="3" t="str">
        <f t="shared" si="1"/>
        <v>✅ OK</v>
      </c>
      <c r="N255" s="3" t="str">
        <f t="shared" si="2"/>
        <v>OK</v>
      </c>
      <c r="O255" s="3" t="str">
        <f t="shared" si="3"/>
        <v>COMPLIANT</v>
      </c>
    </row>
    <row r="256">
      <c r="A256" s="1">
        <v>255.0</v>
      </c>
      <c r="B256" s="1" t="s">
        <v>673</v>
      </c>
      <c r="C256" s="1" t="s">
        <v>26</v>
      </c>
      <c r="D256" s="1" t="s">
        <v>674</v>
      </c>
      <c r="E256" s="1" t="s">
        <v>674</v>
      </c>
      <c r="F256" s="1" t="s">
        <v>675</v>
      </c>
      <c r="G256" s="1" t="b">
        <v>1</v>
      </c>
      <c r="H256" s="1" t="s">
        <v>640</v>
      </c>
      <c r="I256" s="1" t="s">
        <v>24</v>
      </c>
      <c r="J256" s="1" t="b">
        <v>1</v>
      </c>
      <c r="K256" s="1" t="s">
        <v>253</v>
      </c>
      <c r="L256" s="1" t="s">
        <v>20</v>
      </c>
      <c r="M256" s="3" t="str">
        <f t="shared" si="1"/>
        <v>✅ OK</v>
      </c>
      <c r="N256" s="3" t="str">
        <f t="shared" si="2"/>
        <v>OK</v>
      </c>
      <c r="O256" s="3" t="str">
        <f t="shared" si="3"/>
        <v>COMPLIANT</v>
      </c>
    </row>
    <row r="257">
      <c r="A257" s="1">
        <v>256.0</v>
      </c>
      <c r="B257" s="1" t="s">
        <v>512</v>
      </c>
      <c r="C257" s="1" t="s">
        <v>41</v>
      </c>
      <c r="D257" s="1" t="s">
        <v>37</v>
      </c>
      <c r="E257" s="1" t="s">
        <v>37</v>
      </c>
      <c r="F257" s="1" t="s">
        <v>676</v>
      </c>
      <c r="G257" s="1" t="b">
        <v>1</v>
      </c>
      <c r="H257" s="1" t="s">
        <v>29</v>
      </c>
      <c r="I257" s="1" t="s">
        <v>35</v>
      </c>
      <c r="J257" s="1" t="b">
        <v>0</v>
      </c>
      <c r="K257" s="1" t="s">
        <v>677</v>
      </c>
      <c r="L257" s="1" t="s">
        <v>31</v>
      </c>
      <c r="M257" s="3" t="str">
        <f t="shared" si="1"/>
        <v>✅ OK</v>
      </c>
      <c r="N257" s="3" t="str">
        <f t="shared" si="2"/>
        <v>OK</v>
      </c>
      <c r="O257" s="3" t="str">
        <f t="shared" si="3"/>
        <v>COMPLIANT</v>
      </c>
    </row>
    <row r="258">
      <c r="A258" s="1">
        <v>257.0</v>
      </c>
      <c r="B258" s="1" t="s">
        <v>669</v>
      </c>
      <c r="C258" s="1" t="s">
        <v>57</v>
      </c>
      <c r="D258" s="1" t="s">
        <v>678</v>
      </c>
      <c r="E258" s="1" t="s">
        <v>678</v>
      </c>
      <c r="F258" s="1" t="s">
        <v>679</v>
      </c>
      <c r="G258" s="1" t="b">
        <v>1</v>
      </c>
      <c r="I258" s="1" t="s">
        <v>17</v>
      </c>
      <c r="J258" s="1" t="b">
        <v>1</v>
      </c>
      <c r="K258" s="2">
        <v>45300.0</v>
      </c>
      <c r="L258" s="1" t="s">
        <v>20</v>
      </c>
      <c r="M258" s="3" t="str">
        <f t="shared" si="1"/>
        <v>✅ OK</v>
      </c>
      <c r="N258" s="3" t="str">
        <f t="shared" si="2"/>
        <v>OK</v>
      </c>
      <c r="O258" s="3" t="str">
        <f t="shared" si="3"/>
        <v>COMPLIANT</v>
      </c>
    </row>
    <row r="259">
      <c r="A259" s="1">
        <v>258.0</v>
      </c>
      <c r="B259" s="1" t="s">
        <v>403</v>
      </c>
      <c r="C259" s="1" t="s">
        <v>16</v>
      </c>
      <c r="D259" s="1" t="s">
        <v>680</v>
      </c>
      <c r="E259" s="1" t="s">
        <v>680</v>
      </c>
      <c r="F259" s="1" t="s">
        <v>681</v>
      </c>
      <c r="G259" s="1" t="b">
        <v>0</v>
      </c>
      <c r="H259" s="1" t="s">
        <v>44</v>
      </c>
      <c r="I259" s="1" t="s">
        <v>35</v>
      </c>
      <c r="J259" s="1" t="b">
        <v>1</v>
      </c>
      <c r="K259" s="1" t="s">
        <v>682</v>
      </c>
      <c r="L259" s="1" t="s">
        <v>31</v>
      </c>
      <c r="M259" s="3" t="str">
        <f t="shared" si="1"/>
        <v>✅ OK</v>
      </c>
      <c r="N259" s="3" t="str">
        <f t="shared" si="2"/>
        <v>OK</v>
      </c>
      <c r="O259" s="3" t="str">
        <f t="shared" si="3"/>
        <v>COMPLIANT</v>
      </c>
    </row>
    <row r="260">
      <c r="A260" s="1">
        <v>259.0</v>
      </c>
      <c r="B260" s="1" t="s">
        <v>683</v>
      </c>
      <c r="C260" s="1" t="s">
        <v>57</v>
      </c>
      <c r="D260" s="1" t="s">
        <v>79</v>
      </c>
      <c r="E260" s="1" t="s">
        <v>79</v>
      </c>
      <c r="F260" s="1" t="s">
        <v>684</v>
      </c>
      <c r="G260" s="1" t="b">
        <v>1</v>
      </c>
      <c r="H260" s="1" t="s">
        <v>44</v>
      </c>
      <c r="I260" s="1" t="s">
        <v>17</v>
      </c>
      <c r="J260" s="1" t="b">
        <v>0</v>
      </c>
      <c r="K260" s="2">
        <v>45937.0</v>
      </c>
      <c r="L260" s="1" t="s">
        <v>20</v>
      </c>
      <c r="M260" s="3" t="str">
        <f t="shared" si="1"/>
        <v>✅ OK</v>
      </c>
      <c r="N260" s="3" t="str">
        <f t="shared" si="2"/>
        <v>OK</v>
      </c>
      <c r="O260" s="3" t="str">
        <f t="shared" si="3"/>
        <v>COMPLIANT</v>
      </c>
    </row>
    <row r="261">
      <c r="A261" s="1">
        <v>260.0</v>
      </c>
      <c r="B261" s="1" t="s">
        <v>271</v>
      </c>
      <c r="C261" s="1" t="s">
        <v>26</v>
      </c>
      <c r="D261" s="1" t="s">
        <v>79</v>
      </c>
      <c r="E261" s="1" t="s">
        <v>79</v>
      </c>
      <c r="F261" s="1" t="s">
        <v>685</v>
      </c>
      <c r="G261" s="1" t="b">
        <v>1</v>
      </c>
      <c r="H261" s="1" t="s">
        <v>44</v>
      </c>
      <c r="I261" s="1" t="s">
        <v>24</v>
      </c>
      <c r="J261" s="1" t="b">
        <v>0</v>
      </c>
      <c r="K261" s="2">
        <v>45698.0</v>
      </c>
      <c r="L261" s="1" t="s">
        <v>31</v>
      </c>
      <c r="M261" s="3" t="str">
        <f t="shared" si="1"/>
        <v>✅ OK</v>
      </c>
      <c r="N261" s="3" t="str">
        <f t="shared" si="2"/>
        <v>OK</v>
      </c>
      <c r="O261" s="3" t="str">
        <f t="shared" si="3"/>
        <v>COMPLIANT</v>
      </c>
    </row>
    <row r="262">
      <c r="A262" s="1">
        <v>261.0</v>
      </c>
      <c r="B262" s="1" t="s">
        <v>150</v>
      </c>
      <c r="C262" s="1" t="s">
        <v>41</v>
      </c>
      <c r="D262" s="1" t="s">
        <v>144</v>
      </c>
      <c r="E262" s="1" t="s">
        <v>144</v>
      </c>
      <c r="F262" s="1" t="s">
        <v>686</v>
      </c>
      <c r="G262" s="1" t="b">
        <v>0</v>
      </c>
      <c r="H262" s="1" t="s">
        <v>640</v>
      </c>
      <c r="I262" s="1" t="s">
        <v>24</v>
      </c>
      <c r="J262" s="1" t="b">
        <v>0</v>
      </c>
      <c r="K262" s="1" t="s">
        <v>687</v>
      </c>
      <c r="L262" s="1" t="s">
        <v>31</v>
      </c>
      <c r="M262" s="3" t="str">
        <f t="shared" si="1"/>
        <v>✅ OK</v>
      </c>
      <c r="N262" s="3" t="str">
        <f t="shared" si="2"/>
        <v>OK</v>
      </c>
      <c r="O262" s="3" t="str">
        <f t="shared" si="3"/>
        <v>COMPLIANT</v>
      </c>
    </row>
    <row r="263">
      <c r="A263" s="1">
        <v>262.0</v>
      </c>
      <c r="B263" s="1" t="s">
        <v>688</v>
      </c>
      <c r="C263" s="1" t="s">
        <v>16</v>
      </c>
      <c r="D263" s="1" t="s">
        <v>37</v>
      </c>
      <c r="E263" s="1" t="s">
        <v>37</v>
      </c>
      <c r="F263" s="1" t="s">
        <v>689</v>
      </c>
      <c r="G263" s="1" t="b">
        <v>1</v>
      </c>
      <c r="H263" s="1" t="s">
        <v>29</v>
      </c>
      <c r="I263" s="1" t="s">
        <v>35</v>
      </c>
      <c r="J263" s="1" t="b">
        <v>0</v>
      </c>
      <c r="K263" s="1" t="s">
        <v>592</v>
      </c>
      <c r="L263" s="1" t="s">
        <v>31</v>
      </c>
      <c r="M263" s="3" t="str">
        <f t="shared" si="1"/>
        <v>✅ OK</v>
      </c>
      <c r="N263" s="3" t="str">
        <f t="shared" si="2"/>
        <v>OK</v>
      </c>
      <c r="O263" s="3" t="str">
        <f t="shared" si="3"/>
        <v>COMPLIANT</v>
      </c>
    </row>
    <row r="264">
      <c r="A264" s="1">
        <v>263.0</v>
      </c>
      <c r="B264" s="1" t="s">
        <v>21</v>
      </c>
      <c r="C264" s="1" t="s">
        <v>41</v>
      </c>
      <c r="D264" s="1" t="s">
        <v>144</v>
      </c>
      <c r="E264" s="1" t="s">
        <v>144</v>
      </c>
      <c r="F264" s="1" t="s">
        <v>690</v>
      </c>
      <c r="G264" s="1" t="b">
        <v>1</v>
      </c>
      <c r="H264" s="1" t="s">
        <v>640</v>
      </c>
      <c r="I264" s="1" t="s">
        <v>17</v>
      </c>
      <c r="J264" s="1" t="b">
        <v>0</v>
      </c>
      <c r="K264" s="1" t="s">
        <v>691</v>
      </c>
      <c r="L264" s="1" t="s">
        <v>31</v>
      </c>
      <c r="M264" s="3" t="str">
        <f t="shared" si="1"/>
        <v>✅ OK</v>
      </c>
      <c r="N264" s="3" t="str">
        <f t="shared" si="2"/>
        <v>OK</v>
      </c>
      <c r="O264" s="3" t="str">
        <f t="shared" si="3"/>
        <v>COMPLIANT</v>
      </c>
    </row>
    <row r="265">
      <c r="A265" s="1">
        <v>264.0</v>
      </c>
      <c r="B265" s="1" t="s">
        <v>283</v>
      </c>
      <c r="C265" s="1" t="s">
        <v>26</v>
      </c>
      <c r="D265" s="1" t="s">
        <v>692</v>
      </c>
      <c r="E265" s="1" t="s">
        <v>692</v>
      </c>
      <c r="F265" s="1" t="s">
        <v>693</v>
      </c>
      <c r="G265" s="1" t="b">
        <v>0</v>
      </c>
      <c r="I265" s="1" t="s">
        <v>35</v>
      </c>
      <c r="J265" s="1" t="b">
        <v>1</v>
      </c>
      <c r="K265" s="2">
        <v>45081.0</v>
      </c>
      <c r="L265" s="1" t="s">
        <v>31</v>
      </c>
      <c r="M265" s="3" t="str">
        <f t="shared" si="1"/>
        <v>✅ OK</v>
      </c>
      <c r="N265" s="3" t="str">
        <f t="shared" si="2"/>
        <v>OK</v>
      </c>
      <c r="O265" s="3" t="str">
        <f t="shared" si="3"/>
        <v>COMPLIANT</v>
      </c>
    </row>
    <row r="266">
      <c r="A266" s="1">
        <v>265.0</v>
      </c>
      <c r="B266" s="1" t="s">
        <v>694</v>
      </c>
      <c r="C266" s="1" t="s">
        <v>57</v>
      </c>
      <c r="D266" s="1" t="s">
        <v>42</v>
      </c>
      <c r="E266" s="1" t="s">
        <v>42</v>
      </c>
      <c r="F266" s="1" t="s">
        <v>695</v>
      </c>
      <c r="G266" s="1" t="b">
        <v>1</v>
      </c>
      <c r="H266" s="1" t="s">
        <v>29</v>
      </c>
      <c r="I266" s="1" t="s">
        <v>17</v>
      </c>
      <c r="J266" s="1" t="b">
        <v>0</v>
      </c>
      <c r="K266" s="1" t="s">
        <v>696</v>
      </c>
      <c r="L266" s="1" t="s">
        <v>20</v>
      </c>
      <c r="M266" s="3" t="str">
        <f t="shared" si="1"/>
        <v>✅ OK</v>
      </c>
      <c r="N266" s="3" t="str">
        <f t="shared" si="2"/>
        <v>OK</v>
      </c>
      <c r="O266" s="3" t="str">
        <f t="shared" si="3"/>
        <v>COMPLIANT</v>
      </c>
    </row>
    <row r="267">
      <c r="A267" s="1">
        <v>266.0</v>
      </c>
      <c r="B267" s="1" t="s">
        <v>193</v>
      </c>
      <c r="C267" s="1" t="s">
        <v>16</v>
      </c>
      <c r="D267" s="1" t="s">
        <v>79</v>
      </c>
      <c r="E267" s="1" t="s">
        <v>79</v>
      </c>
      <c r="F267" s="1" t="s">
        <v>697</v>
      </c>
      <c r="G267" s="1" t="b">
        <v>0</v>
      </c>
      <c r="H267" s="1" t="s">
        <v>640</v>
      </c>
      <c r="I267" s="1" t="s">
        <v>17</v>
      </c>
      <c r="J267" s="1" t="b">
        <v>0</v>
      </c>
      <c r="K267" s="2">
        <v>45171.0</v>
      </c>
      <c r="L267" s="1" t="s">
        <v>20</v>
      </c>
      <c r="M267" s="3" t="str">
        <f t="shared" si="1"/>
        <v>✅ OK</v>
      </c>
      <c r="N267" s="3" t="str">
        <f t="shared" si="2"/>
        <v>OK</v>
      </c>
      <c r="O267" s="3" t="str">
        <f t="shared" si="3"/>
        <v>COMPLIANT</v>
      </c>
    </row>
    <row r="268">
      <c r="A268" s="1">
        <v>267.0</v>
      </c>
      <c r="B268" s="1" t="s">
        <v>662</v>
      </c>
      <c r="C268" s="1" t="s">
        <v>26</v>
      </c>
      <c r="D268" s="1" t="s">
        <v>144</v>
      </c>
      <c r="E268" s="1" t="s">
        <v>144</v>
      </c>
      <c r="F268" s="1" t="s">
        <v>698</v>
      </c>
      <c r="G268" s="1" t="b">
        <v>0</v>
      </c>
      <c r="H268" s="1" t="s">
        <v>640</v>
      </c>
      <c r="I268" s="1" t="s">
        <v>17</v>
      </c>
      <c r="J268" s="1" t="b">
        <v>0</v>
      </c>
      <c r="K268" s="2">
        <v>45173.0</v>
      </c>
      <c r="L268" s="1" t="s">
        <v>20</v>
      </c>
      <c r="M268" s="3" t="str">
        <f t="shared" si="1"/>
        <v>✅ OK</v>
      </c>
      <c r="N268" s="3" t="str">
        <f t="shared" si="2"/>
        <v>OK</v>
      </c>
      <c r="O268" s="3" t="str">
        <f t="shared" si="3"/>
        <v>COMPLIANT</v>
      </c>
    </row>
    <row r="269">
      <c r="A269" s="1">
        <v>268.0</v>
      </c>
      <c r="B269" s="1" t="s">
        <v>699</v>
      </c>
      <c r="C269" s="1" t="s">
        <v>26</v>
      </c>
      <c r="D269" s="1" t="s">
        <v>101</v>
      </c>
      <c r="E269" s="1" t="s">
        <v>101</v>
      </c>
      <c r="F269" s="1" t="s">
        <v>700</v>
      </c>
      <c r="G269" s="1" t="b">
        <v>0</v>
      </c>
      <c r="H269" s="1" t="s">
        <v>29</v>
      </c>
      <c r="I269" s="1" t="s">
        <v>24</v>
      </c>
      <c r="J269" s="1" t="b">
        <v>0</v>
      </c>
      <c r="K269" s="2">
        <v>45354.0</v>
      </c>
      <c r="L269" s="1" t="s">
        <v>31</v>
      </c>
      <c r="M269" s="3" t="str">
        <f t="shared" si="1"/>
        <v>✅ OK</v>
      </c>
      <c r="N269" s="3" t="str">
        <f t="shared" si="2"/>
        <v>OK</v>
      </c>
      <c r="O269" s="3" t="str">
        <f t="shared" si="3"/>
        <v>COMPLIANT</v>
      </c>
    </row>
    <row r="270">
      <c r="A270" s="1">
        <v>269.0</v>
      </c>
      <c r="B270" s="1" t="s">
        <v>61</v>
      </c>
      <c r="C270" s="1" t="s">
        <v>26</v>
      </c>
      <c r="D270" s="1" t="s">
        <v>66</v>
      </c>
      <c r="E270" s="1" t="s">
        <v>66</v>
      </c>
      <c r="F270" s="1" t="s">
        <v>701</v>
      </c>
      <c r="G270" s="1" t="b">
        <v>0</v>
      </c>
      <c r="H270" s="1" t="s">
        <v>44</v>
      </c>
      <c r="I270" s="1" t="s">
        <v>24</v>
      </c>
      <c r="J270" s="1" t="b">
        <v>0</v>
      </c>
      <c r="K270" s="2">
        <v>45600.0</v>
      </c>
      <c r="L270" s="1" t="s">
        <v>20</v>
      </c>
      <c r="M270" s="3" t="str">
        <f t="shared" si="1"/>
        <v>✅ OK</v>
      </c>
      <c r="N270" s="3" t="str">
        <f t="shared" si="2"/>
        <v>OK</v>
      </c>
      <c r="O270" s="3" t="str">
        <f t="shared" si="3"/>
        <v>COMPLIANT</v>
      </c>
    </row>
    <row r="271">
      <c r="A271" s="1">
        <v>270.0</v>
      </c>
      <c r="B271" s="1" t="s">
        <v>702</v>
      </c>
      <c r="C271" s="1" t="s">
        <v>26</v>
      </c>
      <c r="D271" s="1" t="s">
        <v>101</v>
      </c>
      <c r="E271" s="1" t="s">
        <v>101</v>
      </c>
      <c r="F271" s="1" t="s">
        <v>703</v>
      </c>
      <c r="G271" s="1" t="b">
        <v>0</v>
      </c>
      <c r="H271" s="1" t="s">
        <v>44</v>
      </c>
      <c r="I271" s="1" t="s">
        <v>35</v>
      </c>
      <c r="J271" s="1" t="b">
        <v>1</v>
      </c>
      <c r="K271" s="1" t="s">
        <v>704</v>
      </c>
      <c r="L271" s="1" t="s">
        <v>20</v>
      </c>
      <c r="M271" s="3" t="str">
        <f t="shared" si="1"/>
        <v>✅ OK</v>
      </c>
      <c r="N271" s="3" t="str">
        <f t="shared" si="2"/>
        <v>OK</v>
      </c>
      <c r="O271" s="3" t="str">
        <f t="shared" si="3"/>
        <v>COMPLIANT</v>
      </c>
    </row>
    <row r="272">
      <c r="A272" s="1">
        <v>271.0</v>
      </c>
      <c r="B272" s="1" t="s">
        <v>705</v>
      </c>
      <c r="C272" s="1" t="s">
        <v>26</v>
      </c>
      <c r="D272" s="1" t="s">
        <v>431</v>
      </c>
      <c r="E272" s="1" t="s">
        <v>431</v>
      </c>
      <c r="F272" s="1" t="s">
        <v>706</v>
      </c>
      <c r="G272" s="1" t="b">
        <v>1</v>
      </c>
      <c r="H272" s="1" t="s">
        <v>44</v>
      </c>
      <c r="I272" s="1" t="s">
        <v>17</v>
      </c>
      <c r="J272" s="1" t="b">
        <v>0</v>
      </c>
      <c r="K272" s="1" t="s">
        <v>682</v>
      </c>
      <c r="L272" s="1" t="s">
        <v>20</v>
      </c>
      <c r="M272" s="3" t="str">
        <f t="shared" si="1"/>
        <v>✅ OK</v>
      </c>
      <c r="N272" s="3" t="str">
        <f t="shared" si="2"/>
        <v>OK</v>
      </c>
      <c r="O272" s="3" t="str">
        <f t="shared" si="3"/>
        <v>COMPLIANT</v>
      </c>
    </row>
    <row r="273">
      <c r="A273" s="1">
        <v>272.0</v>
      </c>
      <c r="B273" s="1" t="s">
        <v>707</v>
      </c>
      <c r="C273" s="1" t="s">
        <v>57</v>
      </c>
      <c r="D273" s="1" t="s">
        <v>74</v>
      </c>
      <c r="E273" s="1" t="s">
        <v>74</v>
      </c>
      <c r="F273" s="1" t="s">
        <v>708</v>
      </c>
      <c r="G273" s="1" t="b">
        <v>1</v>
      </c>
      <c r="H273" s="1" t="s">
        <v>44</v>
      </c>
      <c r="I273" s="1" t="s">
        <v>24</v>
      </c>
      <c r="J273" s="1" t="b">
        <v>0</v>
      </c>
      <c r="K273" s="2">
        <v>45842.0</v>
      </c>
      <c r="L273" s="1" t="s">
        <v>31</v>
      </c>
      <c r="M273" s="3" t="str">
        <f t="shared" si="1"/>
        <v>✅ OK</v>
      </c>
      <c r="N273" s="3" t="str">
        <f t="shared" si="2"/>
        <v>OK</v>
      </c>
      <c r="O273" s="3" t="str">
        <f t="shared" si="3"/>
        <v>COMPLIANT</v>
      </c>
    </row>
    <row r="274">
      <c r="A274" s="1">
        <v>273.0</v>
      </c>
      <c r="B274" s="1" t="s">
        <v>417</v>
      </c>
      <c r="C274" s="1" t="s">
        <v>16</v>
      </c>
      <c r="D274" s="1" t="s">
        <v>564</v>
      </c>
      <c r="E274" s="1" t="s">
        <v>564</v>
      </c>
      <c r="F274" s="1" t="s">
        <v>709</v>
      </c>
      <c r="G274" s="1" t="b">
        <v>0</v>
      </c>
      <c r="H274" s="1" t="s">
        <v>44</v>
      </c>
      <c r="I274" s="1" t="s">
        <v>24</v>
      </c>
      <c r="J274" s="1" t="b">
        <v>0</v>
      </c>
      <c r="K274" s="2">
        <v>45931.0</v>
      </c>
      <c r="L274" s="1" t="s">
        <v>31</v>
      </c>
      <c r="M274" s="3" t="str">
        <f t="shared" si="1"/>
        <v>✅ OK</v>
      </c>
      <c r="N274" s="3" t="str">
        <f t="shared" si="2"/>
        <v>OK</v>
      </c>
      <c r="O274" s="3" t="str">
        <f t="shared" si="3"/>
        <v>COMPLIANT</v>
      </c>
    </row>
    <row r="275">
      <c r="A275" s="1">
        <v>274.0</v>
      </c>
      <c r="B275" s="1" t="s">
        <v>89</v>
      </c>
      <c r="C275" s="1" t="s">
        <v>47</v>
      </c>
      <c r="D275" s="1" t="s">
        <v>22</v>
      </c>
      <c r="E275" s="1" t="s">
        <v>22</v>
      </c>
      <c r="F275" s="1" t="s">
        <v>710</v>
      </c>
      <c r="G275" s="1" t="b">
        <v>1</v>
      </c>
      <c r="I275" s="1" t="s">
        <v>17</v>
      </c>
      <c r="J275" s="1" t="b">
        <v>0</v>
      </c>
      <c r="K275" s="1" t="s">
        <v>711</v>
      </c>
      <c r="L275" s="1" t="s">
        <v>31</v>
      </c>
      <c r="M275" s="3" t="str">
        <f t="shared" si="1"/>
        <v>✅ OK</v>
      </c>
      <c r="N275" s="3" t="str">
        <f t="shared" si="2"/>
        <v>OK</v>
      </c>
      <c r="O275" s="3" t="str">
        <f t="shared" si="3"/>
        <v>COMPLIANT</v>
      </c>
    </row>
    <row r="276">
      <c r="A276" s="1">
        <v>275.0</v>
      </c>
      <c r="B276" s="1" t="s">
        <v>712</v>
      </c>
      <c r="C276" s="1" t="s">
        <v>47</v>
      </c>
      <c r="D276" s="1" t="s">
        <v>17</v>
      </c>
      <c r="E276" s="1" t="s">
        <v>17</v>
      </c>
      <c r="F276" s="1" t="s">
        <v>713</v>
      </c>
      <c r="G276" s="1" t="b">
        <v>1</v>
      </c>
      <c r="H276" s="1" t="s">
        <v>29</v>
      </c>
      <c r="I276" s="1" t="s">
        <v>35</v>
      </c>
      <c r="J276" s="1" t="b">
        <v>1</v>
      </c>
      <c r="K276" s="1" t="s">
        <v>714</v>
      </c>
      <c r="L276" s="1" t="s">
        <v>20</v>
      </c>
      <c r="M276" s="3" t="str">
        <f t="shared" si="1"/>
        <v>✅ OK</v>
      </c>
      <c r="N276" s="3" t="str">
        <f t="shared" si="2"/>
        <v>OK</v>
      </c>
      <c r="O276" s="3" t="str">
        <f t="shared" si="3"/>
        <v>COMPLIANT</v>
      </c>
    </row>
    <row r="277">
      <c r="A277" s="1">
        <v>276.0</v>
      </c>
      <c r="B277" s="1" t="s">
        <v>520</v>
      </c>
      <c r="C277" s="1" t="s">
        <v>26</v>
      </c>
      <c r="D277" s="1" t="s">
        <v>572</v>
      </c>
      <c r="E277" s="1" t="s">
        <v>572</v>
      </c>
      <c r="F277" s="1" t="s">
        <v>715</v>
      </c>
      <c r="G277" s="1" t="b">
        <v>0</v>
      </c>
      <c r="H277" s="1" t="s">
        <v>44</v>
      </c>
      <c r="I277" s="1" t="s">
        <v>17</v>
      </c>
      <c r="J277" s="1" t="b">
        <v>1</v>
      </c>
      <c r="K277" s="2">
        <v>45577.0</v>
      </c>
      <c r="L277" s="1" t="s">
        <v>31</v>
      </c>
      <c r="M277" s="3" t="str">
        <f t="shared" si="1"/>
        <v>✅ OK</v>
      </c>
      <c r="N277" s="3" t="str">
        <f t="shared" si="2"/>
        <v>OK</v>
      </c>
      <c r="O277" s="3" t="str">
        <f t="shared" si="3"/>
        <v>COMPLIANT</v>
      </c>
    </row>
    <row r="278">
      <c r="A278" s="1">
        <v>277.0</v>
      </c>
      <c r="B278" s="1" t="s">
        <v>716</v>
      </c>
      <c r="C278" s="1" t="s">
        <v>16</v>
      </c>
      <c r="D278" s="1" t="s">
        <v>42</v>
      </c>
      <c r="E278" s="1" t="s">
        <v>42</v>
      </c>
      <c r="F278" s="1" t="s">
        <v>717</v>
      </c>
      <c r="G278" s="1" t="b">
        <v>0</v>
      </c>
      <c r="H278" s="1" t="s">
        <v>640</v>
      </c>
      <c r="I278" s="1" t="s">
        <v>35</v>
      </c>
      <c r="J278" s="1" t="b">
        <v>1</v>
      </c>
      <c r="K278" s="2">
        <v>45604.0</v>
      </c>
      <c r="L278" s="1" t="s">
        <v>31</v>
      </c>
      <c r="M278" s="3" t="str">
        <f t="shared" si="1"/>
        <v>✅ OK</v>
      </c>
      <c r="N278" s="3" t="str">
        <f t="shared" si="2"/>
        <v>OK</v>
      </c>
      <c r="O278" s="3" t="str">
        <f t="shared" si="3"/>
        <v>COMPLIANT</v>
      </c>
    </row>
    <row r="279">
      <c r="A279" s="1">
        <v>278.0</v>
      </c>
      <c r="B279" s="1" t="s">
        <v>673</v>
      </c>
      <c r="C279" s="1" t="s">
        <v>47</v>
      </c>
      <c r="D279" s="1" t="s">
        <v>74</v>
      </c>
      <c r="E279" s="1" t="s">
        <v>74</v>
      </c>
      <c r="F279" s="1" t="s">
        <v>718</v>
      </c>
      <c r="G279" s="1" t="b">
        <v>1</v>
      </c>
      <c r="H279" s="1" t="s">
        <v>29</v>
      </c>
      <c r="I279" s="1" t="s">
        <v>17</v>
      </c>
      <c r="J279" s="1" t="b">
        <v>0</v>
      </c>
      <c r="K279" s="1" t="s">
        <v>719</v>
      </c>
      <c r="L279" s="1" t="s">
        <v>20</v>
      </c>
      <c r="M279" s="3" t="str">
        <f t="shared" si="1"/>
        <v>✅ OK</v>
      </c>
      <c r="N279" s="3" t="str">
        <f t="shared" si="2"/>
        <v>OK</v>
      </c>
      <c r="O279" s="3" t="str">
        <f t="shared" si="3"/>
        <v>COMPLIANT</v>
      </c>
    </row>
    <row r="280">
      <c r="A280" s="1">
        <v>279.0</v>
      </c>
      <c r="B280" s="1" t="s">
        <v>91</v>
      </c>
      <c r="C280" s="1" t="s">
        <v>41</v>
      </c>
      <c r="D280" s="1" t="s">
        <v>151</v>
      </c>
      <c r="E280" s="1" t="s">
        <v>151</v>
      </c>
      <c r="F280" s="1" t="s">
        <v>720</v>
      </c>
      <c r="G280" s="1" t="b">
        <v>1</v>
      </c>
      <c r="H280" s="1" t="s">
        <v>29</v>
      </c>
      <c r="I280" s="1" t="s">
        <v>24</v>
      </c>
      <c r="J280" s="1" t="b">
        <v>0</v>
      </c>
      <c r="K280" s="1" t="s">
        <v>157</v>
      </c>
      <c r="L280" s="1" t="s">
        <v>20</v>
      </c>
      <c r="M280" s="3" t="str">
        <f t="shared" si="1"/>
        <v>✅ OK</v>
      </c>
      <c r="N280" s="3" t="str">
        <f t="shared" si="2"/>
        <v>OK</v>
      </c>
      <c r="O280" s="3" t="str">
        <f t="shared" si="3"/>
        <v>COMPLIANT</v>
      </c>
    </row>
    <row r="281">
      <c r="A281" s="1">
        <v>280.0</v>
      </c>
      <c r="B281" s="1" t="s">
        <v>721</v>
      </c>
      <c r="C281" s="1" t="s">
        <v>41</v>
      </c>
      <c r="D281" s="1" t="s">
        <v>79</v>
      </c>
      <c r="E281" s="1" t="s">
        <v>79</v>
      </c>
      <c r="F281" s="1" t="s">
        <v>722</v>
      </c>
      <c r="G281" s="1" t="b">
        <v>0</v>
      </c>
      <c r="H281" s="1" t="s">
        <v>29</v>
      </c>
      <c r="I281" s="1" t="s">
        <v>35</v>
      </c>
      <c r="J281" s="1" t="b">
        <v>0</v>
      </c>
      <c r="K281" s="1" t="s">
        <v>723</v>
      </c>
      <c r="L281" s="1" t="s">
        <v>20</v>
      </c>
      <c r="M281" s="3" t="str">
        <f t="shared" si="1"/>
        <v>✅ OK</v>
      </c>
      <c r="N281" s="3" t="str">
        <f t="shared" si="2"/>
        <v>OK</v>
      </c>
      <c r="O281" s="3" t="str">
        <f t="shared" si="3"/>
        <v>COMPLIANT</v>
      </c>
    </row>
    <row r="282">
      <c r="A282" s="1">
        <v>281.0</v>
      </c>
      <c r="B282" s="1" t="s">
        <v>248</v>
      </c>
      <c r="C282" s="1" t="s">
        <v>16</v>
      </c>
      <c r="D282" s="1" t="s">
        <v>724</v>
      </c>
      <c r="E282" s="1" t="s">
        <v>724</v>
      </c>
      <c r="F282" s="1" t="s">
        <v>725</v>
      </c>
      <c r="G282" s="1" t="b">
        <v>1</v>
      </c>
      <c r="H282" s="1" t="s">
        <v>29</v>
      </c>
      <c r="I282" s="1" t="s">
        <v>35</v>
      </c>
      <c r="J282" s="1" t="b">
        <v>1</v>
      </c>
      <c r="K282" s="1" t="s">
        <v>726</v>
      </c>
      <c r="L282" s="1" t="s">
        <v>31</v>
      </c>
      <c r="M282" s="3" t="str">
        <f t="shared" si="1"/>
        <v>✅ OK</v>
      </c>
      <c r="N282" s="3" t="str">
        <f t="shared" si="2"/>
        <v>OK</v>
      </c>
      <c r="O282" s="3" t="str">
        <f t="shared" si="3"/>
        <v>COMPLIANT</v>
      </c>
    </row>
    <row r="283">
      <c r="A283" s="1">
        <v>282.0</v>
      </c>
      <c r="B283" s="1" t="s">
        <v>104</v>
      </c>
      <c r="C283" s="1" t="s">
        <v>57</v>
      </c>
      <c r="D283" s="1" t="s">
        <v>173</v>
      </c>
      <c r="E283" s="1" t="s">
        <v>173</v>
      </c>
      <c r="F283" s="1" t="s">
        <v>727</v>
      </c>
      <c r="G283" s="1" t="b">
        <v>0</v>
      </c>
      <c r="H283" s="1" t="s">
        <v>29</v>
      </c>
      <c r="I283" s="1" t="s">
        <v>17</v>
      </c>
      <c r="J283" s="1" t="b">
        <v>0</v>
      </c>
      <c r="K283" s="1" t="s">
        <v>728</v>
      </c>
      <c r="L283" s="1" t="s">
        <v>20</v>
      </c>
      <c r="M283" s="3" t="str">
        <f t="shared" si="1"/>
        <v>✅ OK</v>
      </c>
      <c r="N283" s="3" t="str">
        <f t="shared" si="2"/>
        <v>OK</v>
      </c>
      <c r="O283" s="3" t="str">
        <f t="shared" si="3"/>
        <v>COMPLIANT</v>
      </c>
    </row>
    <row r="284">
      <c r="A284" s="1">
        <v>283.0</v>
      </c>
      <c r="B284" s="1" t="s">
        <v>162</v>
      </c>
      <c r="C284" s="1" t="s">
        <v>16</v>
      </c>
      <c r="D284" s="1" t="s">
        <v>197</v>
      </c>
      <c r="E284" s="1" t="s">
        <v>197</v>
      </c>
      <c r="F284" s="1" t="s">
        <v>729</v>
      </c>
      <c r="G284" s="1" t="b">
        <v>1</v>
      </c>
      <c r="I284" s="1" t="s">
        <v>24</v>
      </c>
      <c r="J284" s="1" t="b">
        <v>0</v>
      </c>
      <c r="K284" s="1" t="s">
        <v>505</v>
      </c>
      <c r="L284" s="1" t="s">
        <v>31</v>
      </c>
      <c r="M284" s="3" t="str">
        <f t="shared" si="1"/>
        <v>✅ OK</v>
      </c>
      <c r="N284" s="3" t="str">
        <f t="shared" si="2"/>
        <v>OK</v>
      </c>
      <c r="O284" s="3" t="str">
        <f t="shared" si="3"/>
        <v>COMPLIANT</v>
      </c>
    </row>
    <row r="285">
      <c r="A285" s="1">
        <v>284.0</v>
      </c>
      <c r="B285" s="1" t="s">
        <v>730</v>
      </c>
      <c r="C285" s="1" t="s">
        <v>47</v>
      </c>
      <c r="D285" s="1" t="s">
        <v>280</v>
      </c>
      <c r="E285" s="1" t="s">
        <v>280</v>
      </c>
      <c r="F285" s="1" t="s">
        <v>731</v>
      </c>
      <c r="G285" s="1" t="b">
        <v>0</v>
      </c>
      <c r="H285" s="1" t="s">
        <v>640</v>
      </c>
      <c r="I285" s="1" t="s">
        <v>17</v>
      </c>
      <c r="J285" s="1" t="b">
        <v>0</v>
      </c>
      <c r="K285" s="2">
        <v>45481.0</v>
      </c>
      <c r="L285" s="1" t="s">
        <v>20</v>
      </c>
      <c r="M285" s="3" t="str">
        <f t="shared" si="1"/>
        <v>✅ OK</v>
      </c>
      <c r="N285" s="3" t="str">
        <f t="shared" si="2"/>
        <v>OK</v>
      </c>
      <c r="O285" s="3" t="str">
        <f t="shared" si="3"/>
        <v>COMPLIANT</v>
      </c>
    </row>
    <row r="286">
      <c r="A286" s="1">
        <v>285.0</v>
      </c>
      <c r="B286" s="1" t="s">
        <v>732</v>
      </c>
      <c r="C286" s="1" t="s">
        <v>16</v>
      </c>
      <c r="D286" s="1" t="s">
        <v>54</v>
      </c>
      <c r="E286" s="1" t="s">
        <v>54</v>
      </c>
      <c r="F286" s="1" t="s">
        <v>733</v>
      </c>
      <c r="G286" s="1" t="b">
        <v>0</v>
      </c>
      <c r="I286" s="1" t="s">
        <v>17</v>
      </c>
      <c r="J286" s="1" t="b">
        <v>0</v>
      </c>
      <c r="K286" s="1" t="s">
        <v>734</v>
      </c>
      <c r="L286" s="1" t="s">
        <v>31</v>
      </c>
      <c r="M286" s="3" t="str">
        <f t="shared" si="1"/>
        <v>✅ OK</v>
      </c>
      <c r="N286" s="3" t="str">
        <f t="shared" si="2"/>
        <v>OK</v>
      </c>
      <c r="O286" s="3" t="str">
        <f t="shared" si="3"/>
        <v>COMPLIANT</v>
      </c>
    </row>
    <row r="287">
      <c r="A287" s="1">
        <v>286.0</v>
      </c>
      <c r="B287" s="1" t="s">
        <v>735</v>
      </c>
      <c r="C287" s="1" t="s">
        <v>26</v>
      </c>
      <c r="D287" s="1" t="s">
        <v>42</v>
      </c>
      <c r="E287" s="1" t="s">
        <v>42</v>
      </c>
      <c r="F287" s="1" t="s">
        <v>736</v>
      </c>
      <c r="G287" s="1" t="b">
        <v>1</v>
      </c>
      <c r="H287" s="1" t="s">
        <v>19</v>
      </c>
      <c r="I287" s="1" t="s">
        <v>24</v>
      </c>
      <c r="J287" s="1" t="b">
        <v>1</v>
      </c>
      <c r="K287" s="1" t="s">
        <v>737</v>
      </c>
      <c r="L287" s="1" t="s">
        <v>20</v>
      </c>
      <c r="M287" s="3" t="str">
        <f t="shared" si="1"/>
        <v>✅ OK</v>
      </c>
      <c r="N287" s="3" t="str">
        <f t="shared" si="2"/>
        <v>OK</v>
      </c>
      <c r="O287" s="3" t="str">
        <f t="shared" si="3"/>
        <v>COMPLIANT</v>
      </c>
    </row>
    <row r="288">
      <c r="A288" s="1">
        <v>287.0</v>
      </c>
      <c r="B288" s="1" t="s">
        <v>595</v>
      </c>
      <c r="C288" s="1" t="s">
        <v>16</v>
      </c>
      <c r="D288" s="1" t="s">
        <v>79</v>
      </c>
      <c r="E288" s="1" t="s">
        <v>79</v>
      </c>
      <c r="F288" s="1" t="s">
        <v>738</v>
      </c>
      <c r="G288" s="1" t="b">
        <v>0</v>
      </c>
      <c r="H288" s="1" t="s">
        <v>44</v>
      </c>
      <c r="I288" s="1" t="s">
        <v>17</v>
      </c>
      <c r="J288" s="1" t="b">
        <v>0</v>
      </c>
      <c r="K288" s="1" t="s">
        <v>739</v>
      </c>
      <c r="L288" s="1" t="s">
        <v>20</v>
      </c>
      <c r="M288" s="3" t="str">
        <f t="shared" si="1"/>
        <v>✅ OK</v>
      </c>
      <c r="N288" s="3" t="str">
        <f t="shared" si="2"/>
        <v>OK</v>
      </c>
      <c r="O288" s="3" t="str">
        <f t="shared" si="3"/>
        <v>COMPLIANT</v>
      </c>
    </row>
    <row r="289">
      <c r="A289" s="1">
        <v>288.0</v>
      </c>
      <c r="B289" s="1" t="s">
        <v>219</v>
      </c>
      <c r="C289" s="1" t="s">
        <v>26</v>
      </c>
      <c r="D289" s="1" t="s">
        <v>27</v>
      </c>
      <c r="E289" s="1" t="s">
        <v>27</v>
      </c>
      <c r="F289" s="1" t="s">
        <v>740</v>
      </c>
      <c r="G289" s="1" t="b">
        <v>1</v>
      </c>
      <c r="H289" s="1" t="s">
        <v>29</v>
      </c>
      <c r="I289" s="1" t="s">
        <v>24</v>
      </c>
      <c r="J289" s="1" t="b">
        <v>0</v>
      </c>
      <c r="K289" s="1" t="s">
        <v>741</v>
      </c>
      <c r="L289" s="1" t="s">
        <v>20</v>
      </c>
      <c r="M289" s="3" t="str">
        <f t="shared" si="1"/>
        <v>✅ OK</v>
      </c>
      <c r="N289" s="3" t="str">
        <f t="shared" si="2"/>
        <v>OK</v>
      </c>
      <c r="O289" s="3" t="str">
        <f t="shared" si="3"/>
        <v>COMPLIANT</v>
      </c>
    </row>
    <row r="290">
      <c r="A290" s="1">
        <v>289.0</v>
      </c>
      <c r="B290" s="1" t="s">
        <v>683</v>
      </c>
      <c r="C290" s="1" t="s">
        <v>26</v>
      </c>
      <c r="D290" s="1" t="s">
        <v>79</v>
      </c>
      <c r="E290" s="1" t="s">
        <v>79</v>
      </c>
      <c r="F290" s="1" t="s">
        <v>742</v>
      </c>
      <c r="G290" s="1" t="b">
        <v>0</v>
      </c>
      <c r="H290" s="1" t="s">
        <v>29</v>
      </c>
      <c r="I290" s="1" t="s">
        <v>17</v>
      </c>
      <c r="J290" s="1" t="b">
        <v>0</v>
      </c>
      <c r="K290" s="1" t="s">
        <v>743</v>
      </c>
      <c r="L290" s="1" t="s">
        <v>31</v>
      </c>
      <c r="M290" s="3" t="str">
        <f t="shared" si="1"/>
        <v>✅ OK</v>
      </c>
      <c r="N290" s="3" t="str">
        <f t="shared" si="2"/>
        <v>OK</v>
      </c>
      <c r="O290" s="3" t="str">
        <f t="shared" si="3"/>
        <v>COMPLIANT</v>
      </c>
    </row>
    <row r="291">
      <c r="A291" s="1">
        <v>290.0</v>
      </c>
      <c r="B291" s="1" t="s">
        <v>735</v>
      </c>
      <c r="C291" s="1" t="s">
        <v>47</v>
      </c>
      <c r="D291" s="1" t="s">
        <v>42</v>
      </c>
      <c r="E291" s="1" t="s">
        <v>42</v>
      </c>
      <c r="F291" s="1" t="s">
        <v>744</v>
      </c>
      <c r="G291" s="1" t="b">
        <v>1</v>
      </c>
      <c r="H291" s="1" t="s">
        <v>29</v>
      </c>
      <c r="I291" s="1" t="s">
        <v>35</v>
      </c>
      <c r="J291" s="1" t="b">
        <v>0</v>
      </c>
      <c r="K291" s="2">
        <v>45027.0</v>
      </c>
      <c r="L291" s="1" t="s">
        <v>20</v>
      </c>
      <c r="M291" s="3" t="str">
        <f t="shared" si="1"/>
        <v>✅ OK</v>
      </c>
      <c r="N291" s="3" t="str">
        <f t="shared" si="2"/>
        <v>OK</v>
      </c>
      <c r="O291" s="3" t="str">
        <f t="shared" si="3"/>
        <v>COMPLIANT</v>
      </c>
    </row>
    <row r="292">
      <c r="A292" s="1">
        <v>291.0</v>
      </c>
      <c r="B292" s="1" t="s">
        <v>190</v>
      </c>
      <c r="C292" s="1" t="s">
        <v>57</v>
      </c>
      <c r="D292" s="1" t="s">
        <v>83</v>
      </c>
      <c r="E292" s="1" t="s">
        <v>83</v>
      </c>
      <c r="F292" s="1" t="s">
        <v>745</v>
      </c>
      <c r="G292" s="1" t="b">
        <v>1</v>
      </c>
      <c r="H292" s="1" t="s">
        <v>19</v>
      </c>
      <c r="I292" s="1" t="s">
        <v>24</v>
      </c>
      <c r="J292" s="1" t="b">
        <v>0</v>
      </c>
      <c r="K292" s="1" t="s">
        <v>746</v>
      </c>
      <c r="L292" s="1" t="s">
        <v>31</v>
      </c>
      <c r="M292" s="3" t="str">
        <f t="shared" si="1"/>
        <v>✅ OK</v>
      </c>
      <c r="N292" s="3" t="str">
        <f t="shared" si="2"/>
        <v>OK</v>
      </c>
      <c r="O292" s="3" t="str">
        <f t="shared" si="3"/>
        <v>COMPLIANT</v>
      </c>
    </row>
    <row r="293">
      <c r="A293" s="1">
        <v>292.0</v>
      </c>
      <c r="B293" s="1" t="s">
        <v>662</v>
      </c>
      <c r="C293" s="1" t="s">
        <v>57</v>
      </c>
      <c r="D293" s="1" t="s">
        <v>692</v>
      </c>
      <c r="E293" s="1" t="s">
        <v>692</v>
      </c>
      <c r="F293" s="1" t="s">
        <v>747</v>
      </c>
      <c r="G293" s="1" t="b">
        <v>0</v>
      </c>
      <c r="H293" s="1" t="s">
        <v>44</v>
      </c>
      <c r="I293" s="1" t="s">
        <v>35</v>
      </c>
      <c r="J293" s="1" t="b">
        <v>0</v>
      </c>
      <c r="K293" s="2">
        <v>45939.0</v>
      </c>
      <c r="L293" s="1" t="s">
        <v>20</v>
      </c>
      <c r="M293" s="3" t="str">
        <f t="shared" si="1"/>
        <v>✅ OK</v>
      </c>
      <c r="N293" s="3" t="str">
        <f t="shared" si="2"/>
        <v>OK</v>
      </c>
      <c r="O293" s="3" t="str">
        <f t="shared" si="3"/>
        <v>COMPLIANT</v>
      </c>
    </row>
    <row r="294">
      <c r="A294" s="1">
        <v>293.0</v>
      </c>
      <c r="B294" s="1" t="s">
        <v>748</v>
      </c>
      <c r="C294" s="1" t="s">
        <v>41</v>
      </c>
      <c r="D294" s="1" t="s">
        <v>66</v>
      </c>
      <c r="E294" s="1" t="s">
        <v>66</v>
      </c>
      <c r="F294" s="1" t="s">
        <v>749</v>
      </c>
      <c r="G294" s="1" t="b">
        <v>0</v>
      </c>
      <c r="H294" s="1" t="s">
        <v>29</v>
      </c>
      <c r="I294" s="1" t="s">
        <v>35</v>
      </c>
      <c r="J294" s="1" t="b">
        <v>1</v>
      </c>
      <c r="K294" s="1" t="s">
        <v>668</v>
      </c>
      <c r="L294" s="1" t="s">
        <v>31</v>
      </c>
      <c r="M294" s="3" t="str">
        <f t="shared" si="1"/>
        <v>✅ OK</v>
      </c>
      <c r="N294" s="3" t="str">
        <f t="shared" si="2"/>
        <v>OK</v>
      </c>
      <c r="O294" s="3" t="str">
        <f t="shared" si="3"/>
        <v>COMPLIANT</v>
      </c>
    </row>
    <row r="295">
      <c r="A295" s="1">
        <v>294.0</v>
      </c>
      <c r="B295" s="1" t="s">
        <v>358</v>
      </c>
      <c r="C295" s="1" t="s">
        <v>16</v>
      </c>
      <c r="D295" s="1" t="s">
        <v>22</v>
      </c>
      <c r="E295" s="1" t="s">
        <v>22</v>
      </c>
      <c r="F295" s="1" t="s">
        <v>750</v>
      </c>
      <c r="G295" s="1" t="b">
        <v>0</v>
      </c>
      <c r="H295" s="1" t="s">
        <v>29</v>
      </c>
      <c r="I295" s="1" t="s">
        <v>35</v>
      </c>
      <c r="J295" s="1" t="b">
        <v>1</v>
      </c>
      <c r="K295" s="2">
        <v>45785.0</v>
      </c>
      <c r="L295" s="1" t="s">
        <v>31</v>
      </c>
      <c r="M295" s="3" t="str">
        <f t="shared" si="1"/>
        <v>✅ OK</v>
      </c>
      <c r="N295" s="3" t="str">
        <f t="shared" si="2"/>
        <v>OK</v>
      </c>
      <c r="O295" s="3" t="str">
        <f t="shared" si="3"/>
        <v>COMPLIANT</v>
      </c>
    </row>
    <row r="296">
      <c r="A296" s="1">
        <v>295.0</v>
      </c>
      <c r="B296" s="1" t="s">
        <v>224</v>
      </c>
      <c r="C296" s="1" t="s">
        <v>41</v>
      </c>
      <c r="D296" s="1" t="s">
        <v>446</v>
      </c>
      <c r="E296" s="1" t="s">
        <v>446</v>
      </c>
      <c r="F296" s="1" t="s">
        <v>751</v>
      </c>
      <c r="G296" s="1" t="b">
        <v>0</v>
      </c>
      <c r="H296" s="1" t="s">
        <v>29</v>
      </c>
      <c r="I296" s="1" t="s">
        <v>17</v>
      </c>
      <c r="J296" s="1" t="b">
        <v>0</v>
      </c>
      <c r="K296" s="2">
        <v>45692.0</v>
      </c>
      <c r="L296" s="1" t="s">
        <v>20</v>
      </c>
      <c r="M296" s="3" t="str">
        <f t="shared" si="1"/>
        <v>✅ OK</v>
      </c>
      <c r="N296" s="3" t="str">
        <f t="shared" si="2"/>
        <v>OK</v>
      </c>
      <c r="O296" s="3" t="str">
        <f t="shared" si="3"/>
        <v>COMPLIANT</v>
      </c>
    </row>
    <row r="297">
      <c r="A297" s="1">
        <v>296.0</v>
      </c>
      <c r="B297" s="1" t="s">
        <v>752</v>
      </c>
      <c r="C297" s="1" t="s">
        <v>26</v>
      </c>
      <c r="D297" s="1" t="s">
        <v>33</v>
      </c>
      <c r="E297" s="1" t="s">
        <v>33</v>
      </c>
      <c r="F297" s="1" t="s">
        <v>753</v>
      </c>
      <c r="G297" s="1" t="b">
        <v>1</v>
      </c>
      <c r="H297" s="1" t="s">
        <v>29</v>
      </c>
      <c r="I297" s="1" t="s">
        <v>24</v>
      </c>
      <c r="J297" s="1" t="b">
        <v>1</v>
      </c>
      <c r="K297" s="2">
        <v>45142.0</v>
      </c>
      <c r="L297" s="1" t="s">
        <v>31</v>
      </c>
      <c r="M297" s="3" t="str">
        <f t="shared" si="1"/>
        <v>✅ OK</v>
      </c>
      <c r="N297" s="3" t="str">
        <f t="shared" si="2"/>
        <v>OK</v>
      </c>
      <c r="O297" s="3" t="str">
        <f t="shared" si="3"/>
        <v>COMPLIANT</v>
      </c>
    </row>
    <row r="298">
      <c r="A298" s="1">
        <v>297.0</v>
      </c>
      <c r="B298" s="1" t="s">
        <v>754</v>
      </c>
      <c r="C298" s="1" t="s">
        <v>26</v>
      </c>
      <c r="D298" s="1" t="s">
        <v>79</v>
      </c>
      <c r="E298" s="1" t="s">
        <v>79</v>
      </c>
      <c r="F298" s="1" t="s">
        <v>755</v>
      </c>
      <c r="G298" s="1" t="b">
        <v>1</v>
      </c>
      <c r="H298" s="1" t="s">
        <v>44</v>
      </c>
      <c r="I298" s="1" t="s">
        <v>35</v>
      </c>
      <c r="J298" s="1" t="b">
        <v>0</v>
      </c>
      <c r="K298" s="2">
        <v>45753.0</v>
      </c>
      <c r="L298" s="1" t="s">
        <v>31</v>
      </c>
      <c r="M298" s="3" t="str">
        <f t="shared" si="1"/>
        <v>✅ OK</v>
      </c>
      <c r="N298" s="3" t="str">
        <f t="shared" si="2"/>
        <v>OK</v>
      </c>
      <c r="O298" s="3" t="str">
        <f t="shared" si="3"/>
        <v>COMPLIANT</v>
      </c>
    </row>
    <row r="299">
      <c r="A299" s="1">
        <v>298.0</v>
      </c>
      <c r="B299" s="1" t="s">
        <v>756</v>
      </c>
      <c r="C299" s="1" t="s">
        <v>16</v>
      </c>
      <c r="D299" s="1" t="s">
        <v>173</v>
      </c>
      <c r="E299" s="1" t="s">
        <v>173</v>
      </c>
      <c r="F299" s="1" t="s">
        <v>757</v>
      </c>
      <c r="G299" s="1" t="b">
        <v>0</v>
      </c>
      <c r="H299" s="1" t="s">
        <v>29</v>
      </c>
      <c r="I299" s="1" t="s">
        <v>24</v>
      </c>
      <c r="J299" s="1" t="b">
        <v>0</v>
      </c>
      <c r="K299" s="1" t="s">
        <v>758</v>
      </c>
      <c r="L299" s="1" t="s">
        <v>31</v>
      </c>
      <c r="M299" s="3" t="str">
        <f t="shared" si="1"/>
        <v>✅ OK</v>
      </c>
      <c r="N299" s="3" t="str">
        <f t="shared" si="2"/>
        <v>OK</v>
      </c>
      <c r="O299" s="3" t="str">
        <f t="shared" si="3"/>
        <v>COMPLIANT</v>
      </c>
    </row>
    <row r="300">
      <c r="A300" s="1">
        <v>299.0</v>
      </c>
      <c r="B300" s="1" t="s">
        <v>759</v>
      </c>
      <c r="C300" s="1" t="s">
        <v>16</v>
      </c>
      <c r="D300" s="1" t="s">
        <v>79</v>
      </c>
      <c r="E300" s="1" t="s">
        <v>79</v>
      </c>
      <c r="F300" s="1" t="s">
        <v>760</v>
      </c>
      <c r="G300" s="1" t="b">
        <v>1</v>
      </c>
      <c r="H300" s="1" t="s">
        <v>29</v>
      </c>
      <c r="I300" s="1" t="s">
        <v>17</v>
      </c>
      <c r="J300" s="1" t="b">
        <v>1</v>
      </c>
      <c r="K300" s="2">
        <v>45049.0</v>
      </c>
      <c r="L300" s="1" t="s">
        <v>20</v>
      </c>
      <c r="M300" s="3" t="str">
        <f t="shared" si="1"/>
        <v>✅ OK</v>
      </c>
      <c r="N300" s="3" t="str">
        <f t="shared" si="2"/>
        <v>OK</v>
      </c>
      <c r="O300" s="3" t="str">
        <f t="shared" si="3"/>
        <v>COMPLIANT</v>
      </c>
    </row>
    <row r="301">
      <c r="A301" s="1">
        <v>300.0</v>
      </c>
      <c r="B301" s="1" t="s">
        <v>761</v>
      </c>
      <c r="C301" s="1" t="s">
        <v>26</v>
      </c>
      <c r="D301" s="1" t="s">
        <v>79</v>
      </c>
      <c r="E301" s="1" t="s">
        <v>79</v>
      </c>
      <c r="F301" s="1" t="s">
        <v>762</v>
      </c>
      <c r="G301" s="1" t="b">
        <v>1</v>
      </c>
      <c r="I301" s="1" t="s">
        <v>24</v>
      </c>
      <c r="J301" s="1" t="b">
        <v>1</v>
      </c>
      <c r="K301" s="1" t="s">
        <v>763</v>
      </c>
      <c r="L301" s="1" t="s">
        <v>31</v>
      </c>
      <c r="M301" s="3" t="str">
        <f t="shared" si="1"/>
        <v>✅ OK</v>
      </c>
      <c r="N301" s="3" t="str">
        <f t="shared" si="2"/>
        <v>OK</v>
      </c>
      <c r="O301" s="3" t="str">
        <f t="shared" si="3"/>
        <v>COMPLIANT</v>
      </c>
    </row>
    <row r="302">
      <c r="A302" s="1">
        <v>301.0</v>
      </c>
      <c r="B302" s="1" t="s">
        <v>764</v>
      </c>
      <c r="C302" s="1" t="s">
        <v>26</v>
      </c>
      <c r="D302" s="1" t="s">
        <v>101</v>
      </c>
      <c r="E302" s="1" t="s">
        <v>101</v>
      </c>
      <c r="F302" s="1" t="s">
        <v>765</v>
      </c>
      <c r="G302" s="1" t="b">
        <v>1</v>
      </c>
      <c r="I302" s="1" t="s">
        <v>35</v>
      </c>
      <c r="J302" s="1" t="b">
        <v>0</v>
      </c>
      <c r="K302" s="2">
        <v>45964.0</v>
      </c>
      <c r="L302" s="1" t="s">
        <v>20</v>
      </c>
      <c r="M302" s="3" t="str">
        <f t="shared" si="1"/>
        <v>✅ OK</v>
      </c>
      <c r="N302" s="3" t="str">
        <f t="shared" si="2"/>
        <v>OK</v>
      </c>
      <c r="O302" s="3" t="str">
        <f t="shared" si="3"/>
        <v>COMPLIANT</v>
      </c>
    </row>
    <row r="303">
      <c r="A303" s="1">
        <v>302.0</v>
      </c>
      <c r="B303" s="1" t="s">
        <v>766</v>
      </c>
      <c r="C303" s="1" t="s">
        <v>26</v>
      </c>
      <c r="D303" s="1" t="s">
        <v>17</v>
      </c>
      <c r="E303" s="1" t="s">
        <v>17</v>
      </c>
      <c r="F303" s="1" t="s">
        <v>767</v>
      </c>
      <c r="G303" s="1" t="b">
        <v>0</v>
      </c>
      <c r="H303" s="1" t="s">
        <v>44</v>
      </c>
      <c r="I303" s="1" t="s">
        <v>17</v>
      </c>
      <c r="J303" s="1" t="b">
        <v>0</v>
      </c>
      <c r="K303" s="2">
        <v>45175.0</v>
      </c>
      <c r="L303" s="1" t="s">
        <v>20</v>
      </c>
      <c r="M303" s="3" t="str">
        <f t="shared" si="1"/>
        <v>✅ OK</v>
      </c>
      <c r="N303" s="3" t="str">
        <f t="shared" si="2"/>
        <v>OK</v>
      </c>
      <c r="O303" s="3" t="str">
        <f t="shared" si="3"/>
        <v>COMPLIANT</v>
      </c>
    </row>
    <row r="304">
      <c r="A304" s="1">
        <v>303.0</v>
      </c>
      <c r="B304" s="1" t="s">
        <v>752</v>
      </c>
      <c r="C304" s="1" t="s">
        <v>16</v>
      </c>
      <c r="D304" s="1" t="s">
        <v>79</v>
      </c>
      <c r="E304" s="1" t="s">
        <v>79</v>
      </c>
      <c r="F304" s="1" t="s">
        <v>768</v>
      </c>
      <c r="G304" s="1" t="b">
        <v>1</v>
      </c>
      <c r="H304" s="1" t="s">
        <v>29</v>
      </c>
      <c r="I304" s="1" t="s">
        <v>24</v>
      </c>
      <c r="J304" s="1" t="b">
        <v>0</v>
      </c>
      <c r="K304" s="2">
        <v>45144.0</v>
      </c>
      <c r="L304" s="1" t="s">
        <v>20</v>
      </c>
      <c r="M304" s="3" t="str">
        <f t="shared" si="1"/>
        <v>✅ OK</v>
      </c>
      <c r="N304" s="3" t="str">
        <f t="shared" si="2"/>
        <v>OK</v>
      </c>
      <c r="O304" s="3" t="str">
        <f t="shared" si="3"/>
        <v>COMPLIANT</v>
      </c>
    </row>
    <row r="305">
      <c r="A305" s="1">
        <v>304.0</v>
      </c>
      <c r="B305" s="1" t="s">
        <v>459</v>
      </c>
      <c r="C305" s="1" t="s">
        <v>16</v>
      </c>
      <c r="D305" s="1" t="s">
        <v>769</v>
      </c>
      <c r="E305" s="1" t="s">
        <v>769</v>
      </c>
      <c r="F305" s="1" t="s">
        <v>770</v>
      </c>
      <c r="G305" s="1" t="b">
        <v>1</v>
      </c>
      <c r="H305" s="1" t="s">
        <v>44</v>
      </c>
      <c r="I305" s="1" t="s">
        <v>35</v>
      </c>
      <c r="J305" s="1" t="b">
        <v>0</v>
      </c>
      <c r="K305" s="1" t="s">
        <v>56</v>
      </c>
      <c r="L305" s="1" t="s">
        <v>31</v>
      </c>
      <c r="M305" s="3" t="str">
        <f t="shared" si="1"/>
        <v>✅ OK</v>
      </c>
      <c r="N305" s="3" t="str">
        <f t="shared" si="2"/>
        <v>OK</v>
      </c>
      <c r="O305" s="3" t="str">
        <f t="shared" si="3"/>
        <v>COMPLIANT</v>
      </c>
    </row>
    <row r="306">
      <c r="A306" s="1">
        <v>305.0</v>
      </c>
      <c r="B306" s="1" t="s">
        <v>699</v>
      </c>
      <c r="C306" s="1" t="s">
        <v>26</v>
      </c>
      <c r="D306" s="1" t="s">
        <v>33</v>
      </c>
      <c r="E306" s="1" t="s">
        <v>33</v>
      </c>
      <c r="F306" s="1" t="s">
        <v>771</v>
      </c>
      <c r="G306" s="1" t="b">
        <v>0</v>
      </c>
      <c r="H306" s="1" t="s">
        <v>44</v>
      </c>
      <c r="I306" s="1" t="s">
        <v>17</v>
      </c>
      <c r="J306" s="1" t="b">
        <v>0</v>
      </c>
      <c r="K306" s="2">
        <v>45841.0</v>
      </c>
      <c r="L306" s="1" t="s">
        <v>31</v>
      </c>
      <c r="M306" s="3" t="str">
        <f t="shared" si="1"/>
        <v>✅ OK</v>
      </c>
      <c r="N306" s="3" t="str">
        <f t="shared" si="2"/>
        <v>OK</v>
      </c>
      <c r="O306" s="3" t="str">
        <f t="shared" si="3"/>
        <v>COMPLIANT</v>
      </c>
    </row>
    <row r="307">
      <c r="A307" s="1">
        <v>306.0</v>
      </c>
      <c r="B307" s="1" t="s">
        <v>244</v>
      </c>
      <c r="C307" s="1" t="s">
        <v>26</v>
      </c>
      <c r="D307" s="1" t="s">
        <v>772</v>
      </c>
      <c r="E307" s="1" t="s">
        <v>772</v>
      </c>
      <c r="F307" s="1" t="s">
        <v>773</v>
      </c>
      <c r="G307" s="1" t="b">
        <v>1</v>
      </c>
      <c r="H307" s="1" t="s">
        <v>29</v>
      </c>
      <c r="I307" s="1" t="s">
        <v>17</v>
      </c>
      <c r="J307" s="1" t="b">
        <v>1</v>
      </c>
      <c r="K307" s="1" t="s">
        <v>774</v>
      </c>
      <c r="L307" s="1" t="s">
        <v>31</v>
      </c>
      <c r="M307" s="3" t="str">
        <f t="shared" si="1"/>
        <v>✅ OK</v>
      </c>
      <c r="N307" s="3" t="str">
        <f t="shared" si="2"/>
        <v>OK</v>
      </c>
      <c r="O307" s="3" t="str">
        <f t="shared" si="3"/>
        <v>COMPLIANT</v>
      </c>
    </row>
    <row r="308">
      <c r="A308" s="1">
        <v>307.0</v>
      </c>
      <c r="B308" s="1" t="s">
        <v>775</v>
      </c>
      <c r="C308" s="1" t="s">
        <v>41</v>
      </c>
      <c r="D308" s="1" t="s">
        <v>776</v>
      </c>
      <c r="E308" s="1" t="s">
        <v>776</v>
      </c>
      <c r="F308" s="1" t="s">
        <v>777</v>
      </c>
      <c r="G308" s="1" t="b">
        <v>0</v>
      </c>
      <c r="H308" s="1" t="s">
        <v>29</v>
      </c>
      <c r="I308" s="1" t="s">
        <v>24</v>
      </c>
      <c r="J308" s="1" t="b">
        <v>1</v>
      </c>
      <c r="K308" s="1" t="s">
        <v>778</v>
      </c>
      <c r="L308" s="1" t="s">
        <v>20</v>
      </c>
      <c r="M308" s="3" t="str">
        <f t="shared" si="1"/>
        <v>✅ OK</v>
      </c>
      <c r="N308" s="3" t="str">
        <f t="shared" si="2"/>
        <v>OK</v>
      </c>
      <c r="O308" s="3" t="str">
        <f t="shared" si="3"/>
        <v>COMPLIANT</v>
      </c>
    </row>
    <row r="309">
      <c r="A309" s="1">
        <v>308.0</v>
      </c>
      <c r="B309" s="1" t="s">
        <v>779</v>
      </c>
      <c r="C309" s="1" t="s">
        <v>26</v>
      </c>
      <c r="D309" s="1" t="s">
        <v>79</v>
      </c>
      <c r="E309" s="1" t="s">
        <v>79</v>
      </c>
      <c r="F309" s="1" t="s">
        <v>780</v>
      </c>
      <c r="G309" s="1" t="b">
        <v>0</v>
      </c>
      <c r="H309" s="1" t="s">
        <v>29</v>
      </c>
      <c r="I309" s="1" t="s">
        <v>35</v>
      </c>
      <c r="J309" s="1" t="b">
        <v>1</v>
      </c>
      <c r="K309" s="1" t="s">
        <v>589</v>
      </c>
      <c r="L309" s="1" t="s">
        <v>31</v>
      </c>
      <c r="M309" s="3" t="str">
        <f t="shared" si="1"/>
        <v>✅ OK</v>
      </c>
      <c r="N309" s="3" t="str">
        <f t="shared" si="2"/>
        <v>OK</v>
      </c>
      <c r="O309" s="3" t="str">
        <f t="shared" si="3"/>
        <v>COMPLIANT</v>
      </c>
    </row>
    <row r="310">
      <c r="A310" s="1">
        <v>309.0</v>
      </c>
      <c r="B310" s="1" t="s">
        <v>427</v>
      </c>
      <c r="C310" s="1" t="s">
        <v>47</v>
      </c>
      <c r="D310" s="1" t="s">
        <v>674</v>
      </c>
      <c r="E310" s="1" t="s">
        <v>674</v>
      </c>
      <c r="F310" s="1" t="s">
        <v>781</v>
      </c>
      <c r="G310" s="1" t="b">
        <v>0</v>
      </c>
      <c r="H310" s="1" t="s">
        <v>29</v>
      </c>
      <c r="I310" s="1" t="s">
        <v>24</v>
      </c>
      <c r="J310" s="1" t="b">
        <v>0</v>
      </c>
      <c r="K310" s="2">
        <v>45353.0</v>
      </c>
      <c r="L310" s="1" t="s">
        <v>20</v>
      </c>
      <c r="M310" s="3" t="str">
        <f t="shared" si="1"/>
        <v>✅ OK</v>
      </c>
      <c r="N310" s="3" t="str">
        <f t="shared" si="2"/>
        <v>OK</v>
      </c>
      <c r="O310" s="3" t="str">
        <f t="shared" si="3"/>
        <v>COMPLIANT</v>
      </c>
    </row>
    <row r="311">
      <c r="A311" s="1">
        <v>310.0</v>
      </c>
      <c r="B311" s="1" t="s">
        <v>782</v>
      </c>
      <c r="C311" s="1" t="s">
        <v>57</v>
      </c>
      <c r="D311" s="1" t="s">
        <v>42</v>
      </c>
      <c r="E311" s="1" t="s">
        <v>42</v>
      </c>
      <c r="F311" s="1" t="s">
        <v>783</v>
      </c>
      <c r="G311" s="1" t="b">
        <v>1</v>
      </c>
      <c r="H311" s="1" t="s">
        <v>44</v>
      </c>
      <c r="I311" s="1" t="s">
        <v>35</v>
      </c>
      <c r="J311" s="1" t="b">
        <v>1</v>
      </c>
      <c r="K311" s="2">
        <v>45477.0</v>
      </c>
      <c r="L311" s="1" t="s">
        <v>31</v>
      </c>
      <c r="M311" s="3" t="str">
        <f t="shared" si="1"/>
        <v>✅ OK</v>
      </c>
      <c r="N311" s="3" t="str">
        <f t="shared" si="2"/>
        <v>OK</v>
      </c>
      <c r="O311" s="3" t="str">
        <f t="shared" si="3"/>
        <v>COMPLIANT</v>
      </c>
    </row>
    <row r="312">
      <c r="A312" s="1">
        <v>311.0</v>
      </c>
      <c r="B312" s="1" t="s">
        <v>784</v>
      </c>
      <c r="C312" s="1" t="s">
        <v>57</v>
      </c>
      <c r="D312" s="1" t="s">
        <v>74</v>
      </c>
      <c r="E312" s="1" t="s">
        <v>74</v>
      </c>
      <c r="F312" s="1" t="s">
        <v>785</v>
      </c>
      <c r="G312" s="1" t="b">
        <v>0</v>
      </c>
      <c r="H312" s="1" t="s">
        <v>29</v>
      </c>
      <c r="I312" s="1" t="s">
        <v>17</v>
      </c>
      <c r="J312" s="1" t="b">
        <v>0</v>
      </c>
      <c r="K312" s="1" t="s">
        <v>786</v>
      </c>
      <c r="L312" s="1" t="s">
        <v>31</v>
      </c>
      <c r="M312" s="3" t="str">
        <f t="shared" si="1"/>
        <v>✅ OK</v>
      </c>
      <c r="N312" s="3" t="str">
        <f t="shared" si="2"/>
        <v>OK</v>
      </c>
      <c r="O312" s="3" t="str">
        <f t="shared" si="3"/>
        <v>COMPLIANT</v>
      </c>
    </row>
    <row r="313">
      <c r="A313" s="1">
        <v>312.0</v>
      </c>
      <c r="B313" s="1" t="s">
        <v>787</v>
      </c>
      <c r="C313" s="1" t="s">
        <v>41</v>
      </c>
      <c r="D313" s="1" t="s">
        <v>42</v>
      </c>
      <c r="E313" s="1" t="s">
        <v>42</v>
      </c>
      <c r="F313" s="1" t="s">
        <v>788</v>
      </c>
      <c r="G313" s="1" t="b">
        <v>1</v>
      </c>
      <c r="H313" s="1" t="s">
        <v>44</v>
      </c>
      <c r="I313" s="1" t="s">
        <v>24</v>
      </c>
      <c r="J313" s="1" t="b">
        <v>0</v>
      </c>
      <c r="K313" s="2">
        <v>45815.0</v>
      </c>
      <c r="L313" s="1" t="s">
        <v>20</v>
      </c>
      <c r="M313" s="3" t="str">
        <f t="shared" si="1"/>
        <v>✅ OK</v>
      </c>
      <c r="N313" s="3" t="str">
        <f t="shared" si="2"/>
        <v>OK</v>
      </c>
      <c r="O313" s="3" t="str">
        <f t="shared" si="3"/>
        <v>COMPLIANT</v>
      </c>
    </row>
    <row r="314">
      <c r="A314" s="1">
        <v>313.0</v>
      </c>
      <c r="B314" s="1" t="s">
        <v>759</v>
      </c>
      <c r="C314" s="1" t="s">
        <v>41</v>
      </c>
      <c r="D314" s="1" t="s">
        <v>650</v>
      </c>
      <c r="E314" s="1" t="s">
        <v>650</v>
      </c>
      <c r="F314" s="1" t="s">
        <v>789</v>
      </c>
      <c r="G314" s="1" t="b">
        <v>1</v>
      </c>
      <c r="H314" s="1" t="s">
        <v>29</v>
      </c>
      <c r="I314" s="1" t="s">
        <v>24</v>
      </c>
      <c r="J314" s="1" t="b">
        <v>0</v>
      </c>
      <c r="K314" s="1" t="s">
        <v>790</v>
      </c>
      <c r="L314" s="1" t="s">
        <v>31</v>
      </c>
      <c r="M314" s="3" t="str">
        <f t="shared" si="1"/>
        <v>✅ OK</v>
      </c>
      <c r="N314" s="3" t="str">
        <f t="shared" si="2"/>
        <v>OK</v>
      </c>
      <c r="O314" s="3" t="str">
        <f t="shared" si="3"/>
        <v>COMPLIANT</v>
      </c>
    </row>
    <row r="315">
      <c r="A315" s="1">
        <v>314.0</v>
      </c>
      <c r="B315" s="1" t="s">
        <v>96</v>
      </c>
      <c r="C315" s="1" t="s">
        <v>57</v>
      </c>
      <c r="D315" s="1" t="s">
        <v>74</v>
      </c>
      <c r="E315" s="1" t="s">
        <v>74</v>
      </c>
      <c r="F315" s="1" t="s">
        <v>791</v>
      </c>
      <c r="G315" s="1" t="b">
        <v>0</v>
      </c>
      <c r="H315" s="1" t="s">
        <v>29</v>
      </c>
      <c r="I315" s="1" t="s">
        <v>17</v>
      </c>
      <c r="J315" s="1" t="b">
        <v>0</v>
      </c>
      <c r="K315" s="2">
        <v>45294.0</v>
      </c>
      <c r="L315" s="1" t="s">
        <v>20</v>
      </c>
      <c r="M315" s="3" t="str">
        <f t="shared" si="1"/>
        <v>✅ OK</v>
      </c>
      <c r="N315" s="3" t="str">
        <f t="shared" si="2"/>
        <v>OK</v>
      </c>
      <c r="O315" s="3" t="str">
        <f t="shared" si="3"/>
        <v>COMPLIANT</v>
      </c>
    </row>
    <row r="316">
      <c r="A316" s="1">
        <v>315.0</v>
      </c>
      <c r="B316" s="1" t="s">
        <v>265</v>
      </c>
      <c r="C316" s="1" t="s">
        <v>57</v>
      </c>
      <c r="D316" s="1" t="s">
        <v>69</v>
      </c>
      <c r="E316" s="1" t="s">
        <v>69</v>
      </c>
      <c r="F316" s="1" t="s">
        <v>792</v>
      </c>
      <c r="G316" s="1" t="b">
        <v>1</v>
      </c>
      <c r="H316" s="1" t="s">
        <v>29</v>
      </c>
      <c r="I316" s="1" t="s">
        <v>35</v>
      </c>
      <c r="J316" s="1" t="b">
        <v>0</v>
      </c>
      <c r="K316" s="1" t="s">
        <v>793</v>
      </c>
      <c r="L316" s="1" t="s">
        <v>20</v>
      </c>
      <c r="M316" s="3" t="str">
        <f t="shared" si="1"/>
        <v>✅ OK</v>
      </c>
      <c r="N316" s="3" t="str">
        <f t="shared" si="2"/>
        <v>OK</v>
      </c>
      <c r="O316" s="3" t="str">
        <f t="shared" si="3"/>
        <v>COMPLIANT</v>
      </c>
    </row>
    <row r="317">
      <c r="A317" s="1">
        <v>316.0</v>
      </c>
      <c r="B317" s="1" t="s">
        <v>299</v>
      </c>
      <c r="C317" s="1" t="s">
        <v>26</v>
      </c>
      <c r="D317" s="1" t="s">
        <v>356</v>
      </c>
      <c r="E317" s="1" t="s">
        <v>356</v>
      </c>
      <c r="F317" s="1" t="s">
        <v>794</v>
      </c>
      <c r="G317" s="1" t="b">
        <v>1</v>
      </c>
      <c r="I317" s="1" t="s">
        <v>24</v>
      </c>
      <c r="J317" s="1" t="b">
        <v>1</v>
      </c>
      <c r="K317" s="2">
        <v>45084.0</v>
      </c>
      <c r="L317" s="1" t="s">
        <v>31</v>
      </c>
      <c r="M317" s="3" t="str">
        <f t="shared" si="1"/>
        <v>✅ OK</v>
      </c>
      <c r="N317" s="3" t="str">
        <f t="shared" si="2"/>
        <v>OK</v>
      </c>
      <c r="O317" s="3" t="str">
        <f t="shared" si="3"/>
        <v>COMPLIANT</v>
      </c>
    </row>
    <row r="318">
      <c r="A318" s="1">
        <v>317.0</v>
      </c>
      <c r="B318" s="1" t="s">
        <v>795</v>
      </c>
      <c r="C318" s="1" t="s">
        <v>57</v>
      </c>
      <c r="D318" s="1" t="s">
        <v>37</v>
      </c>
      <c r="E318" s="1" t="s">
        <v>37</v>
      </c>
      <c r="F318" s="1" t="s">
        <v>796</v>
      </c>
      <c r="G318" s="1" t="b">
        <v>1</v>
      </c>
      <c r="H318" s="1" t="s">
        <v>44</v>
      </c>
      <c r="I318" s="1" t="s">
        <v>17</v>
      </c>
      <c r="J318" s="1" t="b">
        <v>0</v>
      </c>
      <c r="K318" s="1" t="s">
        <v>797</v>
      </c>
      <c r="L318" s="1" t="s">
        <v>31</v>
      </c>
      <c r="M318" s="3" t="str">
        <f t="shared" si="1"/>
        <v>✅ OK</v>
      </c>
      <c r="N318" s="3" t="str">
        <f t="shared" si="2"/>
        <v>OK</v>
      </c>
      <c r="O318" s="3" t="str">
        <f t="shared" si="3"/>
        <v>COMPLIANT</v>
      </c>
    </row>
    <row r="319">
      <c r="A319" s="1">
        <v>318.0</v>
      </c>
      <c r="B319" s="1" t="s">
        <v>659</v>
      </c>
      <c r="C319" s="1" t="s">
        <v>41</v>
      </c>
      <c r="D319" s="1" t="s">
        <v>79</v>
      </c>
      <c r="E319" s="1" t="s">
        <v>79</v>
      </c>
      <c r="F319" s="1" t="s">
        <v>798</v>
      </c>
      <c r="G319" s="1" t="b">
        <v>0</v>
      </c>
      <c r="H319" s="1" t="s">
        <v>19</v>
      </c>
      <c r="I319" s="1" t="s">
        <v>24</v>
      </c>
      <c r="J319" s="1" t="b">
        <v>0</v>
      </c>
      <c r="K319" s="2">
        <v>45815.0</v>
      </c>
      <c r="L319" s="1" t="s">
        <v>31</v>
      </c>
      <c r="M319" s="3" t="str">
        <f t="shared" si="1"/>
        <v>✅ OK</v>
      </c>
      <c r="N319" s="3" t="str">
        <f t="shared" si="2"/>
        <v>OK</v>
      </c>
      <c r="O319" s="3" t="str">
        <f t="shared" si="3"/>
        <v>COMPLIANT</v>
      </c>
    </row>
    <row r="320">
      <c r="A320" s="1">
        <v>319.0</v>
      </c>
      <c r="B320" s="1" t="s">
        <v>653</v>
      </c>
      <c r="C320" s="1" t="s">
        <v>47</v>
      </c>
      <c r="D320" s="1" t="s">
        <v>42</v>
      </c>
      <c r="E320" s="1" t="s">
        <v>42</v>
      </c>
      <c r="F320" s="1" t="s">
        <v>799</v>
      </c>
      <c r="G320" s="1" t="b">
        <v>0</v>
      </c>
      <c r="H320" s="1" t="s">
        <v>44</v>
      </c>
      <c r="I320" s="1" t="s">
        <v>17</v>
      </c>
      <c r="J320" s="1" t="b">
        <v>1</v>
      </c>
      <c r="K320" s="1" t="s">
        <v>800</v>
      </c>
      <c r="L320" s="1" t="s">
        <v>20</v>
      </c>
      <c r="M320" s="3" t="str">
        <f t="shared" si="1"/>
        <v>✅ OK</v>
      </c>
      <c r="N320" s="3" t="str">
        <f t="shared" si="2"/>
        <v>OK</v>
      </c>
      <c r="O320" s="3" t="str">
        <f t="shared" si="3"/>
        <v>COMPLIANT</v>
      </c>
    </row>
    <row r="321">
      <c r="A321" s="1">
        <v>320.0</v>
      </c>
      <c r="B321" s="1" t="s">
        <v>363</v>
      </c>
      <c r="C321" s="1" t="s">
        <v>16</v>
      </c>
      <c r="D321" s="1" t="s">
        <v>173</v>
      </c>
      <c r="E321" s="1" t="s">
        <v>173</v>
      </c>
      <c r="F321" s="1" t="s">
        <v>801</v>
      </c>
      <c r="G321" s="1" t="b">
        <v>1</v>
      </c>
      <c r="H321" s="1" t="s">
        <v>29</v>
      </c>
      <c r="I321" s="1" t="s">
        <v>17</v>
      </c>
      <c r="J321" s="1" t="b">
        <v>1</v>
      </c>
      <c r="K321" s="1" t="s">
        <v>802</v>
      </c>
      <c r="L321" s="1" t="s">
        <v>31</v>
      </c>
      <c r="M321" s="3" t="str">
        <f t="shared" si="1"/>
        <v>✅ OK</v>
      </c>
      <c r="N321" s="3" t="str">
        <f t="shared" si="2"/>
        <v>OK</v>
      </c>
      <c r="O321" s="3" t="str">
        <f t="shared" si="3"/>
        <v>COMPLIANT</v>
      </c>
    </row>
    <row r="322">
      <c r="A322" s="1">
        <v>321.0</v>
      </c>
      <c r="B322" s="1" t="s">
        <v>803</v>
      </c>
      <c r="C322" s="1" t="s">
        <v>16</v>
      </c>
      <c r="D322" s="1" t="s">
        <v>74</v>
      </c>
      <c r="E322" s="1" t="s">
        <v>74</v>
      </c>
      <c r="F322" s="1" t="s">
        <v>804</v>
      </c>
      <c r="G322" s="1" t="b">
        <v>1</v>
      </c>
      <c r="H322" s="1" t="s">
        <v>29</v>
      </c>
      <c r="I322" s="1" t="s">
        <v>35</v>
      </c>
      <c r="J322" s="1" t="b">
        <v>0</v>
      </c>
      <c r="K322" s="2">
        <v>45387.0</v>
      </c>
      <c r="L322" s="1" t="s">
        <v>20</v>
      </c>
      <c r="M322" s="3" t="str">
        <f t="shared" si="1"/>
        <v>✅ OK</v>
      </c>
      <c r="N322" s="3" t="str">
        <f t="shared" si="2"/>
        <v>OK</v>
      </c>
      <c r="O322" s="3" t="str">
        <f t="shared" si="3"/>
        <v>COMPLIANT</v>
      </c>
    </row>
    <row r="323">
      <c r="A323" s="1">
        <v>322.0</v>
      </c>
      <c r="B323" s="1" t="s">
        <v>183</v>
      </c>
      <c r="C323" s="1" t="s">
        <v>47</v>
      </c>
      <c r="D323" s="1" t="s">
        <v>144</v>
      </c>
      <c r="E323" s="1" t="s">
        <v>144</v>
      </c>
      <c r="F323" s="1" t="s">
        <v>805</v>
      </c>
      <c r="G323" s="1" t="b">
        <v>1</v>
      </c>
      <c r="H323" s="1" t="s">
        <v>44</v>
      </c>
      <c r="I323" s="1" t="s">
        <v>35</v>
      </c>
      <c r="J323" s="1" t="b">
        <v>0</v>
      </c>
      <c r="K323" s="2">
        <v>45782.0</v>
      </c>
      <c r="L323" s="1" t="s">
        <v>20</v>
      </c>
      <c r="M323" s="3" t="str">
        <f t="shared" si="1"/>
        <v>✅ OK</v>
      </c>
      <c r="N323" s="3" t="str">
        <f t="shared" si="2"/>
        <v>OK</v>
      </c>
      <c r="O323" s="3" t="str">
        <f t="shared" si="3"/>
        <v>COMPLIANT</v>
      </c>
    </row>
    <row r="324">
      <c r="A324" s="1">
        <v>323.0</v>
      </c>
      <c r="B324" s="1" t="s">
        <v>512</v>
      </c>
      <c r="C324" s="1" t="s">
        <v>41</v>
      </c>
      <c r="D324" s="1" t="s">
        <v>83</v>
      </c>
      <c r="E324" s="1" t="s">
        <v>83</v>
      </c>
      <c r="F324" s="1" t="s">
        <v>806</v>
      </c>
      <c r="G324" s="1" t="b">
        <v>1</v>
      </c>
      <c r="H324" s="1" t="s">
        <v>29</v>
      </c>
      <c r="I324" s="1" t="s">
        <v>24</v>
      </c>
      <c r="J324" s="1" t="b">
        <v>1</v>
      </c>
      <c r="K324" s="2">
        <v>45359.0</v>
      </c>
      <c r="L324" s="1" t="s">
        <v>31</v>
      </c>
      <c r="M324" s="3" t="str">
        <f t="shared" si="1"/>
        <v>✅ OK</v>
      </c>
      <c r="N324" s="3" t="str">
        <f t="shared" si="2"/>
        <v>OK</v>
      </c>
      <c r="O324" s="3" t="str">
        <f t="shared" si="3"/>
        <v>COMPLIANT</v>
      </c>
    </row>
    <row r="325">
      <c r="A325" s="1">
        <v>324.0</v>
      </c>
      <c r="B325" s="1" t="s">
        <v>807</v>
      </c>
      <c r="C325" s="1" t="s">
        <v>16</v>
      </c>
      <c r="D325" s="1" t="s">
        <v>79</v>
      </c>
      <c r="E325" s="1" t="s">
        <v>79</v>
      </c>
      <c r="F325" s="1" t="s">
        <v>808</v>
      </c>
      <c r="G325" s="1" t="b">
        <v>0</v>
      </c>
      <c r="H325" s="1" t="s">
        <v>44</v>
      </c>
      <c r="I325" s="1" t="s">
        <v>24</v>
      </c>
      <c r="J325" s="1" t="b">
        <v>0</v>
      </c>
      <c r="K325" s="1" t="s">
        <v>809</v>
      </c>
      <c r="L325" s="1" t="s">
        <v>20</v>
      </c>
      <c r="M325" s="3" t="str">
        <f t="shared" si="1"/>
        <v>✅ OK</v>
      </c>
      <c r="N325" s="3" t="str">
        <f t="shared" si="2"/>
        <v>OK</v>
      </c>
      <c r="O325" s="3" t="str">
        <f t="shared" si="3"/>
        <v>COMPLIANT</v>
      </c>
    </row>
    <row r="326">
      <c r="A326" s="1">
        <v>325.0</v>
      </c>
      <c r="B326" s="1" t="s">
        <v>296</v>
      </c>
      <c r="C326" s="1" t="s">
        <v>16</v>
      </c>
      <c r="D326" s="1" t="s">
        <v>144</v>
      </c>
      <c r="E326" s="1" t="s">
        <v>144</v>
      </c>
      <c r="F326" s="1" t="s">
        <v>810</v>
      </c>
      <c r="G326" s="1" t="b">
        <v>0</v>
      </c>
      <c r="I326" s="1" t="s">
        <v>17</v>
      </c>
      <c r="J326" s="1" t="b">
        <v>1</v>
      </c>
      <c r="K326" s="2">
        <v>45540.0</v>
      </c>
      <c r="L326" s="1" t="s">
        <v>20</v>
      </c>
      <c r="M326" s="3" t="str">
        <f t="shared" si="1"/>
        <v>✅ OK</v>
      </c>
      <c r="N326" s="3" t="str">
        <f t="shared" si="2"/>
        <v>OK</v>
      </c>
      <c r="O326" s="3" t="str">
        <f t="shared" si="3"/>
        <v>COMPLIANT</v>
      </c>
    </row>
    <row r="327">
      <c r="A327" s="1">
        <v>326.0</v>
      </c>
      <c r="B327" s="1" t="s">
        <v>488</v>
      </c>
      <c r="C327" s="1" t="s">
        <v>41</v>
      </c>
      <c r="D327" s="1" t="s">
        <v>42</v>
      </c>
      <c r="E327" s="1" t="s">
        <v>42</v>
      </c>
      <c r="F327" s="1" t="s">
        <v>811</v>
      </c>
      <c r="G327" s="1" t="b">
        <v>1</v>
      </c>
      <c r="H327" s="1" t="s">
        <v>29</v>
      </c>
      <c r="I327" s="1" t="s">
        <v>35</v>
      </c>
      <c r="J327" s="1" t="b">
        <v>1</v>
      </c>
      <c r="K327" s="1" t="s">
        <v>812</v>
      </c>
      <c r="L327" s="1" t="s">
        <v>20</v>
      </c>
      <c r="M327" s="3" t="str">
        <f t="shared" si="1"/>
        <v>✅ OK</v>
      </c>
      <c r="N327" s="3" t="str">
        <f t="shared" si="2"/>
        <v>OK</v>
      </c>
      <c r="O327" s="3" t="str">
        <f t="shared" si="3"/>
        <v>COMPLIANT</v>
      </c>
    </row>
    <row r="328">
      <c r="A328" s="1">
        <v>327.0</v>
      </c>
      <c r="B328" s="1" t="s">
        <v>21</v>
      </c>
      <c r="C328" s="1" t="s">
        <v>47</v>
      </c>
      <c r="D328" s="1" t="s">
        <v>813</v>
      </c>
      <c r="E328" s="1" t="s">
        <v>813</v>
      </c>
      <c r="F328" s="1" t="s">
        <v>814</v>
      </c>
      <c r="G328" s="1" t="b">
        <v>0</v>
      </c>
      <c r="H328" s="1" t="s">
        <v>29</v>
      </c>
      <c r="I328" s="1" t="s">
        <v>24</v>
      </c>
      <c r="J328" s="1" t="b">
        <v>1</v>
      </c>
      <c r="K328" s="1" t="s">
        <v>294</v>
      </c>
      <c r="L328" s="1" t="s">
        <v>20</v>
      </c>
      <c r="M328" s="3" t="str">
        <f t="shared" si="1"/>
        <v>✅ OK</v>
      </c>
      <c r="N328" s="3" t="str">
        <f t="shared" si="2"/>
        <v>OK</v>
      </c>
      <c r="O328" s="3" t="str">
        <f t="shared" si="3"/>
        <v>COMPLIANT</v>
      </c>
    </row>
    <row r="329">
      <c r="A329" s="1">
        <v>328.0</v>
      </c>
      <c r="B329" s="1" t="s">
        <v>232</v>
      </c>
      <c r="C329" s="1" t="s">
        <v>47</v>
      </c>
      <c r="D329" s="1" t="s">
        <v>151</v>
      </c>
      <c r="E329" s="1" t="s">
        <v>151</v>
      </c>
      <c r="F329" s="1" t="s">
        <v>815</v>
      </c>
      <c r="G329" s="1" t="b">
        <v>0</v>
      </c>
      <c r="H329" s="1" t="s">
        <v>29</v>
      </c>
      <c r="I329" s="1" t="s">
        <v>35</v>
      </c>
      <c r="J329" s="1" t="b">
        <v>1</v>
      </c>
      <c r="K329" s="2">
        <v>45173.0</v>
      </c>
      <c r="L329" s="1" t="s">
        <v>31</v>
      </c>
      <c r="M329" s="3" t="str">
        <f t="shared" si="1"/>
        <v>✅ OK</v>
      </c>
      <c r="N329" s="3" t="str">
        <f t="shared" si="2"/>
        <v>OK</v>
      </c>
      <c r="O329" s="3" t="str">
        <f t="shared" si="3"/>
        <v>COMPLIANT</v>
      </c>
    </row>
    <row r="330">
      <c r="A330" s="1">
        <v>329.0</v>
      </c>
      <c r="B330" s="1" t="s">
        <v>816</v>
      </c>
      <c r="C330" s="1" t="s">
        <v>47</v>
      </c>
      <c r="D330" s="1" t="s">
        <v>817</v>
      </c>
      <c r="E330" s="1" t="s">
        <v>817</v>
      </c>
      <c r="F330" s="1" t="s">
        <v>818</v>
      </c>
      <c r="G330" s="1" t="b">
        <v>0</v>
      </c>
      <c r="H330" s="1" t="s">
        <v>29</v>
      </c>
      <c r="I330" s="1" t="s">
        <v>24</v>
      </c>
      <c r="J330" s="1" t="b">
        <v>0</v>
      </c>
      <c r="K330" s="1" t="s">
        <v>261</v>
      </c>
      <c r="L330" s="1" t="s">
        <v>20</v>
      </c>
      <c r="M330" s="3" t="str">
        <f t="shared" si="1"/>
        <v>✅ OK</v>
      </c>
      <c r="N330" s="3" t="str">
        <f t="shared" si="2"/>
        <v>OK</v>
      </c>
      <c r="O330" s="3" t="str">
        <f t="shared" si="3"/>
        <v>COMPLIANT</v>
      </c>
    </row>
    <row r="331">
      <c r="A331" s="1">
        <v>330.0</v>
      </c>
      <c r="B331" s="1" t="s">
        <v>314</v>
      </c>
      <c r="C331" s="1" t="s">
        <v>26</v>
      </c>
      <c r="D331" s="1" t="s">
        <v>642</v>
      </c>
      <c r="E331" s="1" t="s">
        <v>642</v>
      </c>
      <c r="F331" s="1" t="s">
        <v>819</v>
      </c>
      <c r="G331" s="1" t="b">
        <v>1</v>
      </c>
      <c r="H331" s="1" t="s">
        <v>44</v>
      </c>
      <c r="I331" s="1" t="s">
        <v>17</v>
      </c>
      <c r="J331" s="1" t="b">
        <v>1</v>
      </c>
      <c r="K331" s="1" t="s">
        <v>519</v>
      </c>
      <c r="L331" s="1" t="s">
        <v>20</v>
      </c>
      <c r="M331" s="3" t="str">
        <f t="shared" si="1"/>
        <v>✅ OK</v>
      </c>
      <c r="N331" s="3" t="str">
        <f t="shared" si="2"/>
        <v>OK</v>
      </c>
      <c r="O331" s="3" t="str">
        <f t="shared" si="3"/>
        <v>COMPLIANT</v>
      </c>
    </row>
    <row r="332">
      <c r="A332" s="1">
        <v>331.0</v>
      </c>
      <c r="B332" s="1" t="s">
        <v>820</v>
      </c>
      <c r="C332" s="1" t="s">
        <v>41</v>
      </c>
      <c r="D332" s="1" t="s">
        <v>564</v>
      </c>
      <c r="E332" s="1" t="s">
        <v>564</v>
      </c>
      <c r="F332" s="1" t="s">
        <v>821</v>
      </c>
      <c r="G332" s="1" t="b">
        <v>1</v>
      </c>
      <c r="H332" s="1" t="s">
        <v>29</v>
      </c>
      <c r="I332" s="1" t="s">
        <v>24</v>
      </c>
      <c r="J332" s="1" t="b">
        <v>1</v>
      </c>
      <c r="K332" s="1" t="s">
        <v>628</v>
      </c>
      <c r="L332" s="1" t="s">
        <v>31</v>
      </c>
      <c r="M332" s="3" t="str">
        <f t="shared" si="1"/>
        <v>✅ OK</v>
      </c>
      <c r="N332" s="3" t="str">
        <f t="shared" si="2"/>
        <v>OK</v>
      </c>
      <c r="O332" s="3" t="str">
        <f t="shared" si="3"/>
        <v>COMPLIANT</v>
      </c>
    </row>
    <row r="333">
      <c r="A333" s="1">
        <v>332.0</v>
      </c>
      <c r="B333" s="1" t="s">
        <v>822</v>
      </c>
      <c r="C333" s="1" t="s">
        <v>16</v>
      </c>
      <c r="D333" s="1" t="s">
        <v>823</v>
      </c>
      <c r="E333" s="1" t="s">
        <v>823</v>
      </c>
      <c r="F333" s="1" t="s">
        <v>824</v>
      </c>
      <c r="G333" s="1" t="b">
        <v>0</v>
      </c>
      <c r="H333" s="1" t="s">
        <v>29</v>
      </c>
      <c r="I333" s="1" t="s">
        <v>35</v>
      </c>
      <c r="J333" s="1" t="b">
        <v>1</v>
      </c>
      <c r="K333" s="1" t="s">
        <v>825</v>
      </c>
      <c r="L333" s="1" t="s">
        <v>20</v>
      </c>
      <c r="M333" s="3" t="str">
        <f t="shared" si="1"/>
        <v>✅ OK</v>
      </c>
      <c r="N333" s="3" t="str">
        <f t="shared" si="2"/>
        <v>OK</v>
      </c>
      <c r="O333" s="3" t="str">
        <f t="shared" si="3"/>
        <v>COMPLIANT</v>
      </c>
    </row>
    <row r="334">
      <c r="A334" s="1">
        <v>333.0</v>
      </c>
      <c r="B334" s="1" t="s">
        <v>826</v>
      </c>
      <c r="C334" s="1" t="s">
        <v>57</v>
      </c>
      <c r="D334" s="1" t="s">
        <v>79</v>
      </c>
      <c r="E334" s="1" t="s">
        <v>79</v>
      </c>
      <c r="F334" s="1" t="s">
        <v>827</v>
      </c>
      <c r="G334" s="1" t="b">
        <v>0</v>
      </c>
      <c r="H334" s="1" t="s">
        <v>29</v>
      </c>
      <c r="I334" s="1" t="s">
        <v>24</v>
      </c>
      <c r="J334" s="1" t="b">
        <v>0</v>
      </c>
      <c r="K334" s="2">
        <v>45452.0</v>
      </c>
      <c r="L334" s="1" t="s">
        <v>20</v>
      </c>
      <c r="M334" s="3" t="str">
        <f t="shared" si="1"/>
        <v>✅ OK</v>
      </c>
      <c r="N334" s="3" t="str">
        <f t="shared" si="2"/>
        <v>OK</v>
      </c>
      <c r="O334" s="3" t="str">
        <f t="shared" si="3"/>
        <v>COMPLIANT</v>
      </c>
    </row>
    <row r="335">
      <c r="A335" s="1">
        <v>334.0</v>
      </c>
      <c r="B335" s="1" t="s">
        <v>828</v>
      </c>
      <c r="C335" s="1" t="s">
        <v>26</v>
      </c>
      <c r="D335" s="1" t="s">
        <v>69</v>
      </c>
      <c r="E335" s="1" t="s">
        <v>69</v>
      </c>
      <c r="F335" s="1" t="s">
        <v>829</v>
      </c>
      <c r="G335" s="1" t="b">
        <v>0</v>
      </c>
      <c r="H335" s="1" t="s">
        <v>44</v>
      </c>
      <c r="I335" s="1" t="s">
        <v>17</v>
      </c>
      <c r="J335" s="1" t="b">
        <v>0</v>
      </c>
      <c r="K335" s="2">
        <v>45117.0</v>
      </c>
      <c r="L335" s="1" t="s">
        <v>31</v>
      </c>
      <c r="M335" s="3" t="str">
        <f t="shared" si="1"/>
        <v>✅ OK</v>
      </c>
      <c r="N335" s="3" t="str">
        <f t="shared" si="2"/>
        <v>OK</v>
      </c>
      <c r="O335" s="3" t="str">
        <f t="shared" si="3"/>
        <v>COMPLIANT</v>
      </c>
    </row>
    <row r="336">
      <c r="A336" s="1">
        <v>335.0</v>
      </c>
      <c r="B336" s="1" t="s">
        <v>784</v>
      </c>
      <c r="C336" s="1" t="s">
        <v>41</v>
      </c>
      <c r="D336" s="1" t="s">
        <v>69</v>
      </c>
      <c r="E336" s="1" t="s">
        <v>69</v>
      </c>
      <c r="F336" s="1" t="s">
        <v>830</v>
      </c>
      <c r="G336" s="1" t="b">
        <v>1</v>
      </c>
      <c r="H336" s="1" t="s">
        <v>29</v>
      </c>
      <c r="I336" s="1" t="s">
        <v>35</v>
      </c>
      <c r="J336" s="1" t="b">
        <v>1</v>
      </c>
      <c r="K336" s="2">
        <v>45449.0</v>
      </c>
      <c r="L336" s="1" t="s">
        <v>20</v>
      </c>
      <c r="M336" s="3" t="str">
        <f t="shared" si="1"/>
        <v>✅ OK</v>
      </c>
      <c r="N336" s="3" t="str">
        <f t="shared" si="2"/>
        <v>OK</v>
      </c>
      <c r="O336" s="3" t="str">
        <f t="shared" si="3"/>
        <v>COMPLIANT</v>
      </c>
    </row>
    <row r="337">
      <c r="A337" s="1">
        <v>336.0</v>
      </c>
      <c r="B337" s="1" t="s">
        <v>509</v>
      </c>
      <c r="C337" s="1" t="s">
        <v>57</v>
      </c>
      <c r="D337" s="1" t="s">
        <v>173</v>
      </c>
      <c r="E337" s="1" t="s">
        <v>173</v>
      </c>
      <c r="F337" s="1" t="s">
        <v>831</v>
      </c>
      <c r="G337" s="1" t="b">
        <v>0</v>
      </c>
      <c r="H337" s="1" t="s">
        <v>29</v>
      </c>
      <c r="I337" s="1" t="s">
        <v>35</v>
      </c>
      <c r="J337" s="1" t="b">
        <v>0</v>
      </c>
      <c r="K337" s="2">
        <v>45691.0</v>
      </c>
      <c r="L337" s="1" t="s">
        <v>20</v>
      </c>
      <c r="M337" s="3" t="str">
        <f t="shared" si="1"/>
        <v>✅ OK</v>
      </c>
      <c r="N337" s="3" t="str">
        <f t="shared" si="2"/>
        <v>OK</v>
      </c>
      <c r="O337" s="3" t="str">
        <f t="shared" si="3"/>
        <v>COMPLIANT</v>
      </c>
    </row>
    <row r="338">
      <c r="A338" s="1">
        <v>337.0</v>
      </c>
      <c r="B338" s="1" t="s">
        <v>832</v>
      </c>
      <c r="C338" s="1" t="s">
        <v>47</v>
      </c>
      <c r="D338" s="1" t="s">
        <v>813</v>
      </c>
      <c r="E338" s="1" t="s">
        <v>813</v>
      </c>
      <c r="F338" s="1" t="s">
        <v>833</v>
      </c>
      <c r="G338" s="1" t="b">
        <v>1</v>
      </c>
      <c r="H338" s="1" t="s">
        <v>29</v>
      </c>
      <c r="I338" s="1" t="s">
        <v>35</v>
      </c>
      <c r="J338" s="1" t="b">
        <v>1</v>
      </c>
      <c r="K338" s="1" t="s">
        <v>99</v>
      </c>
      <c r="L338" s="1" t="s">
        <v>20</v>
      </c>
      <c r="M338" s="3" t="str">
        <f t="shared" si="1"/>
        <v>✅ OK</v>
      </c>
      <c r="N338" s="3" t="str">
        <f t="shared" si="2"/>
        <v>OK</v>
      </c>
      <c r="O338" s="3" t="str">
        <f t="shared" si="3"/>
        <v>COMPLIANT</v>
      </c>
    </row>
    <row r="339">
      <c r="A339" s="1">
        <v>338.0</v>
      </c>
      <c r="B339" s="1" t="s">
        <v>834</v>
      </c>
      <c r="C339" s="1" t="s">
        <v>41</v>
      </c>
      <c r="D339" s="1" t="s">
        <v>173</v>
      </c>
      <c r="E339" s="1" t="s">
        <v>173</v>
      </c>
      <c r="F339" s="1" t="s">
        <v>835</v>
      </c>
      <c r="G339" s="1" t="b">
        <v>1</v>
      </c>
      <c r="H339" s="1" t="s">
        <v>29</v>
      </c>
      <c r="I339" s="1" t="s">
        <v>17</v>
      </c>
      <c r="J339" s="1" t="b">
        <v>1</v>
      </c>
      <c r="K339" s="1" t="s">
        <v>836</v>
      </c>
      <c r="L339" s="1" t="s">
        <v>20</v>
      </c>
      <c r="M339" s="3" t="str">
        <f t="shared" si="1"/>
        <v>✅ OK</v>
      </c>
      <c r="N339" s="3" t="str">
        <f t="shared" si="2"/>
        <v>OK</v>
      </c>
      <c r="O339" s="3" t="str">
        <f t="shared" si="3"/>
        <v>COMPLIANT</v>
      </c>
    </row>
    <row r="340">
      <c r="A340" s="1">
        <v>339.0</v>
      </c>
      <c r="B340" s="1" t="s">
        <v>299</v>
      </c>
      <c r="C340" s="1" t="s">
        <v>57</v>
      </c>
      <c r="D340" s="1" t="s">
        <v>27</v>
      </c>
      <c r="E340" s="1" t="s">
        <v>27</v>
      </c>
      <c r="F340" s="1" t="s">
        <v>837</v>
      </c>
      <c r="G340" s="1" t="b">
        <v>1</v>
      </c>
      <c r="I340" s="1" t="s">
        <v>35</v>
      </c>
      <c r="J340" s="1" t="b">
        <v>0</v>
      </c>
      <c r="K340" s="1" t="s">
        <v>838</v>
      </c>
      <c r="L340" s="1" t="s">
        <v>31</v>
      </c>
      <c r="M340" s="3" t="str">
        <f t="shared" si="1"/>
        <v>✅ OK</v>
      </c>
      <c r="N340" s="3" t="str">
        <f t="shared" si="2"/>
        <v>OK</v>
      </c>
      <c r="O340" s="3" t="str">
        <f t="shared" si="3"/>
        <v>COMPLIANT</v>
      </c>
    </row>
    <row r="341">
      <c r="A341" s="1">
        <v>340.0</v>
      </c>
      <c r="B341" s="1" t="s">
        <v>314</v>
      </c>
      <c r="C341" s="1" t="s">
        <v>57</v>
      </c>
      <c r="D341" s="1" t="s">
        <v>22</v>
      </c>
      <c r="E341" s="1" t="s">
        <v>22</v>
      </c>
      <c r="F341" s="1" t="s">
        <v>839</v>
      </c>
      <c r="G341" s="1" t="b">
        <v>0</v>
      </c>
      <c r="H341" s="1" t="s">
        <v>44</v>
      </c>
      <c r="I341" s="1" t="s">
        <v>24</v>
      </c>
      <c r="J341" s="1" t="b">
        <v>1</v>
      </c>
      <c r="K341" s="1" t="s">
        <v>840</v>
      </c>
      <c r="L341" s="1" t="s">
        <v>31</v>
      </c>
      <c r="M341" s="3" t="str">
        <f t="shared" si="1"/>
        <v>✅ OK</v>
      </c>
      <c r="N341" s="3" t="str">
        <f t="shared" si="2"/>
        <v>OK</v>
      </c>
      <c r="O341" s="3" t="str">
        <f t="shared" si="3"/>
        <v>COMPLIANT</v>
      </c>
    </row>
    <row r="342">
      <c r="A342" s="1">
        <v>341.0</v>
      </c>
      <c r="B342" s="1" t="s">
        <v>566</v>
      </c>
      <c r="C342" s="1" t="s">
        <v>41</v>
      </c>
      <c r="D342" s="1" t="s">
        <v>42</v>
      </c>
      <c r="E342" s="1" t="s">
        <v>42</v>
      </c>
      <c r="F342" s="1" t="s">
        <v>841</v>
      </c>
      <c r="G342" s="1" t="b">
        <v>1</v>
      </c>
      <c r="H342" s="1" t="s">
        <v>44</v>
      </c>
      <c r="I342" s="1" t="s">
        <v>17</v>
      </c>
      <c r="J342" s="1" t="b">
        <v>1</v>
      </c>
      <c r="K342" s="2">
        <v>45323.0</v>
      </c>
      <c r="L342" s="1" t="s">
        <v>31</v>
      </c>
      <c r="M342" s="3" t="str">
        <f t="shared" si="1"/>
        <v>✅ OK</v>
      </c>
      <c r="N342" s="3" t="str">
        <f t="shared" si="2"/>
        <v>OK</v>
      </c>
      <c r="O342" s="3" t="str">
        <f t="shared" si="3"/>
        <v>COMPLIANT</v>
      </c>
    </row>
    <row r="343">
      <c r="A343" s="1">
        <v>342.0</v>
      </c>
      <c r="B343" s="1" t="s">
        <v>842</v>
      </c>
      <c r="C343" s="1" t="s">
        <v>57</v>
      </c>
      <c r="D343" s="1" t="s">
        <v>650</v>
      </c>
      <c r="E343" s="1" t="s">
        <v>650</v>
      </c>
      <c r="F343" s="1" t="s">
        <v>843</v>
      </c>
      <c r="G343" s="1" t="b">
        <v>0</v>
      </c>
      <c r="H343" s="1" t="s">
        <v>29</v>
      </c>
      <c r="I343" s="1" t="s">
        <v>17</v>
      </c>
      <c r="J343" s="1" t="b">
        <v>1</v>
      </c>
      <c r="K343" s="1" t="s">
        <v>644</v>
      </c>
      <c r="L343" s="1" t="s">
        <v>31</v>
      </c>
      <c r="M343" s="3" t="str">
        <f t="shared" si="1"/>
        <v>✅ OK</v>
      </c>
      <c r="N343" s="3" t="str">
        <f t="shared" si="2"/>
        <v>OK</v>
      </c>
      <c r="O343" s="3" t="str">
        <f t="shared" si="3"/>
        <v>COMPLIANT</v>
      </c>
    </row>
    <row r="344">
      <c r="A344" s="1">
        <v>343.0</v>
      </c>
      <c r="B344" s="1" t="s">
        <v>632</v>
      </c>
      <c r="C344" s="1" t="s">
        <v>47</v>
      </c>
      <c r="D344" s="1" t="s">
        <v>66</v>
      </c>
      <c r="E344" s="1" t="s">
        <v>66</v>
      </c>
      <c r="F344" s="1" t="s">
        <v>844</v>
      </c>
      <c r="G344" s="1" t="b">
        <v>1</v>
      </c>
      <c r="H344" s="1" t="s">
        <v>44</v>
      </c>
      <c r="I344" s="1" t="s">
        <v>17</v>
      </c>
      <c r="J344" s="1" t="b">
        <v>1</v>
      </c>
      <c r="K344" s="1" t="s">
        <v>845</v>
      </c>
      <c r="L344" s="1" t="s">
        <v>20</v>
      </c>
      <c r="M344" s="3" t="str">
        <f t="shared" si="1"/>
        <v>✅ OK</v>
      </c>
      <c r="N344" s="3" t="str">
        <f t="shared" si="2"/>
        <v>OK</v>
      </c>
      <c r="O344" s="3" t="str">
        <f t="shared" si="3"/>
        <v>COMPLIANT</v>
      </c>
    </row>
    <row r="345">
      <c r="A345" s="1">
        <v>344.0</v>
      </c>
      <c r="B345" s="1" t="s">
        <v>301</v>
      </c>
      <c r="C345" s="1" t="s">
        <v>57</v>
      </c>
      <c r="D345" s="1" t="s">
        <v>66</v>
      </c>
      <c r="E345" s="1" t="s">
        <v>66</v>
      </c>
      <c r="F345" s="1" t="s">
        <v>846</v>
      </c>
      <c r="G345" s="1" t="b">
        <v>0</v>
      </c>
      <c r="H345" s="1" t="s">
        <v>44</v>
      </c>
      <c r="I345" s="1" t="s">
        <v>17</v>
      </c>
      <c r="J345" s="1" t="b">
        <v>1</v>
      </c>
      <c r="K345" s="1" t="s">
        <v>746</v>
      </c>
      <c r="L345" s="1" t="s">
        <v>20</v>
      </c>
      <c r="M345" s="3" t="str">
        <f t="shared" si="1"/>
        <v>✅ OK</v>
      </c>
      <c r="N345" s="3" t="str">
        <f t="shared" si="2"/>
        <v>OK</v>
      </c>
      <c r="O345" s="3" t="str">
        <f t="shared" si="3"/>
        <v>COMPLIANT</v>
      </c>
    </row>
    <row r="346">
      <c r="A346" s="1">
        <v>345.0</v>
      </c>
      <c r="B346" s="1" t="s">
        <v>807</v>
      </c>
      <c r="C346" s="1" t="s">
        <v>57</v>
      </c>
      <c r="D346" s="1" t="s">
        <v>74</v>
      </c>
      <c r="E346" s="1" t="s">
        <v>74</v>
      </c>
      <c r="F346" s="1" t="s">
        <v>847</v>
      </c>
      <c r="G346" s="1" t="b">
        <v>0</v>
      </c>
      <c r="H346" s="1" t="s">
        <v>44</v>
      </c>
      <c r="I346" s="1" t="s">
        <v>17</v>
      </c>
      <c r="J346" s="1" t="b">
        <v>0</v>
      </c>
      <c r="K346" s="1" t="s">
        <v>848</v>
      </c>
      <c r="L346" s="1" t="s">
        <v>20</v>
      </c>
      <c r="M346" s="3" t="str">
        <f t="shared" si="1"/>
        <v>✅ OK</v>
      </c>
      <c r="N346" s="3" t="str">
        <f t="shared" si="2"/>
        <v>OK</v>
      </c>
      <c r="O346" s="3" t="str">
        <f t="shared" si="3"/>
        <v>COMPLIANT</v>
      </c>
    </row>
    <row r="347">
      <c r="A347" s="1">
        <v>346.0</v>
      </c>
      <c r="B347" s="1" t="s">
        <v>641</v>
      </c>
      <c r="C347" s="1" t="s">
        <v>16</v>
      </c>
      <c r="D347" s="1" t="s">
        <v>126</v>
      </c>
      <c r="E347" s="1" t="s">
        <v>126</v>
      </c>
      <c r="F347" s="1" t="s">
        <v>849</v>
      </c>
      <c r="G347" s="1" t="b">
        <v>0</v>
      </c>
      <c r="H347" s="1" t="s">
        <v>44</v>
      </c>
      <c r="I347" s="1" t="s">
        <v>17</v>
      </c>
      <c r="J347" s="1" t="b">
        <v>1</v>
      </c>
      <c r="K347" s="2">
        <v>44936.0</v>
      </c>
      <c r="L347" s="1" t="s">
        <v>20</v>
      </c>
      <c r="M347" s="3" t="str">
        <f t="shared" si="1"/>
        <v>✅ OK</v>
      </c>
      <c r="N347" s="3" t="str">
        <f t="shared" si="2"/>
        <v>OK</v>
      </c>
      <c r="O347" s="3" t="str">
        <f t="shared" si="3"/>
        <v>COMPLIANT</v>
      </c>
    </row>
    <row r="348">
      <c r="A348" s="1">
        <v>347.0</v>
      </c>
      <c r="B348" s="1" t="s">
        <v>86</v>
      </c>
      <c r="C348" s="1" t="s">
        <v>57</v>
      </c>
      <c r="D348" s="1" t="s">
        <v>74</v>
      </c>
      <c r="E348" s="1" t="s">
        <v>74</v>
      </c>
      <c r="F348" s="1" t="s">
        <v>850</v>
      </c>
      <c r="G348" s="1" t="b">
        <v>0</v>
      </c>
      <c r="H348" s="1" t="s">
        <v>44</v>
      </c>
      <c r="I348" s="1" t="s">
        <v>24</v>
      </c>
      <c r="J348" s="1" t="b">
        <v>0</v>
      </c>
      <c r="K348" s="2">
        <v>45815.0</v>
      </c>
      <c r="L348" s="1" t="s">
        <v>31</v>
      </c>
      <c r="M348" s="3" t="str">
        <f t="shared" si="1"/>
        <v>✅ OK</v>
      </c>
      <c r="N348" s="3" t="str">
        <f t="shared" si="2"/>
        <v>OK</v>
      </c>
      <c r="O348" s="3" t="str">
        <f t="shared" si="3"/>
        <v>COMPLIANT</v>
      </c>
    </row>
    <row r="349">
      <c r="A349" s="1">
        <v>348.0</v>
      </c>
      <c r="B349" s="1" t="s">
        <v>488</v>
      </c>
      <c r="C349" s="1" t="s">
        <v>16</v>
      </c>
      <c r="D349" s="1" t="s">
        <v>66</v>
      </c>
      <c r="E349" s="1" t="s">
        <v>66</v>
      </c>
      <c r="F349" s="1" t="s">
        <v>851</v>
      </c>
      <c r="G349" s="1" t="b">
        <v>0</v>
      </c>
      <c r="H349" s="1" t="s">
        <v>29</v>
      </c>
      <c r="I349" s="1" t="s">
        <v>35</v>
      </c>
      <c r="J349" s="1" t="b">
        <v>1</v>
      </c>
      <c r="K349" s="1" t="s">
        <v>478</v>
      </c>
      <c r="L349" s="1" t="s">
        <v>31</v>
      </c>
      <c r="M349" s="3" t="str">
        <f t="shared" si="1"/>
        <v>✅ OK</v>
      </c>
      <c r="N349" s="3" t="str">
        <f t="shared" si="2"/>
        <v>OK</v>
      </c>
      <c r="O349" s="3" t="str">
        <f t="shared" si="3"/>
        <v>COMPLIANT</v>
      </c>
    </row>
    <row r="350">
      <c r="A350" s="1">
        <v>349.0</v>
      </c>
      <c r="B350" s="1" t="s">
        <v>343</v>
      </c>
      <c r="C350" s="1" t="s">
        <v>47</v>
      </c>
      <c r="D350" s="1" t="s">
        <v>79</v>
      </c>
      <c r="E350" s="1" t="s">
        <v>79</v>
      </c>
      <c r="F350" s="1" t="s">
        <v>852</v>
      </c>
      <c r="G350" s="1" t="b">
        <v>1</v>
      </c>
      <c r="H350" s="1" t="s">
        <v>29</v>
      </c>
      <c r="I350" s="1" t="s">
        <v>24</v>
      </c>
      <c r="J350" s="1" t="b">
        <v>1</v>
      </c>
      <c r="K350" s="1" t="s">
        <v>95</v>
      </c>
      <c r="L350" s="1" t="s">
        <v>20</v>
      </c>
      <c r="M350" s="3" t="str">
        <f t="shared" si="1"/>
        <v>✅ OK</v>
      </c>
      <c r="N350" s="3" t="str">
        <f t="shared" si="2"/>
        <v>OK</v>
      </c>
      <c r="O350" s="3" t="str">
        <f t="shared" si="3"/>
        <v>COMPLIANT</v>
      </c>
    </row>
    <row r="351">
      <c r="A351" s="1">
        <v>350.0</v>
      </c>
      <c r="B351" s="1" t="s">
        <v>853</v>
      </c>
      <c r="C351" s="1" t="s">
        <v>57</v>
      </c>
      <c r="D351" s="1" t="s">
        <v>724</v>
      </c>
      <c r="E351" s="1" t="s">
        <v>724</v>
      </c>
      <c r="F351" s="1" t="s">
        <v>854</v>
      </c>
      <c r="G351" s="1" t="b">
        <v>1</v>
      </c>
      <c r="H351" s="1" t="s">
        <v>19</v>
      </c>
      <c r="I351" s="1" t="s">
        <v>17</v>
      </c>
      <c r="J351" s="1" t="b">
        <v>1</v>
      </c>
      <c r="K351" s="2">
        <v>45541.0</v>
      </c>
      <c r="L351" s="1" t="s">
        <v>20</v>
      </c>
      <c r="M351" s="3" t="str">
        <f t="shared" si="1"/>
        <v>✅ OK</v>
      </c>
      <c r="N351" s="3" t="str">
        <f t="shared" si="2"/>
        <v>OK</v>
      </c>
      <c r="O351" s="3" t="str">
        <f t="shared" si="3"/>
        <v>COMPLIANT</v>
      </c>
    </row>
    <row r="352">
      <c r="A352" s="1">
        <v>351.0</v>
      </c>
      <c r="B352" s="1" t="s">
        <v>76</v>
      </c>
      <c r="C352" s="1" t="s">
        <v>16</v>
      </c>
      <c r="D352" s="1" t="s">
        <v>144</v>
      </c>
      <c r="E352" s="1" t="s">
        <v>144</v>
      </c>
      <c r="F352" s="1" t="s">
        <v>855</v>
      </c>
      <c r="G352" s="1" t="b">
        <v>1</v>
      </c>
      <c r="I352" s="1" t="s">
        <v>17</v>
      </c>
      <c r="J352" s="1" t="b">
        <v>0</v>
      </c>
      <c r="K352" s="2">
        <v>45696.0</v>
      </c>
      <c r="L352" s="1" t="s">
        <v>31</v>
      </c>
      <c r="M352" s="3" t="str">
        <f t="shared" si="1"/>
        <v>✅ OK</v>
      </c>
      <c r="N352" s="3" t="str">
        <f t="shared" si="2"/>
        <v>OK</v>
      </c>
      <c r="O352" s="3" t="str">
        <f t="shared" si="3"/>
        <v>COMPLIANT</v>
      </c>
    </row>
    <row r="353">
      <c r="A353" s="1">
        <v>352.0</v>
      </c>
      <c r="B353" s="1" t="s">
        <v>856</v>
      </c>
      <c r="C353" s="1" t="s">
        <v>26</v>
      </c>
      <c r="D353" s="1" t="s">
        <v>857</v>
      </c>
      <c r="E353" s="1" t="s">
        <v>857</v>
      </c>
      <c r="F353" s="1" t="s">
        <v>858</v>
      </c>
      <c r="G353" s="1" t="b">
        <v>1</v>
      </c>
      <c r="H353" s="1" t="s">
        <v>29</v>
      </c>
      <c r="I353" s="1" t="s">
        <v>24</v>
      </c>
      <c r="J353" s="1" t="b">
        <v>1</v>
      </c>
      <c r="K353" s="1" t="s">
        <v>859</v>
      </c>
      <c r="L353" s="1" t="s">
        <v>31</v>
      </c>
      <c r="M353" s="3" t="str">
        <f t="shared" si="1"/>
        <v>✅ OK</v>
      </c>
      <c r="N353" s="3" t="str">
        <f t="shared" si="2"/>
        <v>OK</v>
      </c>
      <c r="O353" s="3" t="str">
        <f t="shared" si="3"/>
        <v>COMPLIANT</v>
      </c>
    </row>
    <row r="354">
      <c r="A354" s="1">
        <v>353.0</v>
      </c>
      <c r="B354" s="1" t="s">
        <v>860</v>
      </c>
      <c r="C354" s="1" t="s">
        <v>57</v>
      </c>
      <c r="D354" s="1" t="s">
        <v>17</v>
      </c>
      <c r="E354" s="1" t="s">
        <v>17</v>
      </c>
      <c r="F354" s="1" t="s">
        <v>861</v>
      </c>
      <c r="G354" s="1" t="b">
        <v>1</v>
      </c>
      <c r="H354" s="1" t="s">
        <v>19</v>
      </c>
      <c r="I354" s="1" t="s">
        <v>17</v>
      </c>
      <c r="J354" s="1" t="b">
        <v>0</v>
      </c>
      <c r="K354" s="1" t="s">
        <v>502</v>
      </c>
      <c r="L354" s="1" t="s">
        <v>31</v>
      </c>
      <c r="M354" s="3" t="str">
        <f t="shared" si="1"/>
        <v>✅ OK</v>
      </c>
      <c r="N354" s="3" t="str">
        <f t="shared" si="2"/>
        <v>OK</v>
      </c>
      <c r="O354" s="3" t="str">
        <f t="shared" si="3"/>
        <v>COMPLIANT</v>
      </c>
    </row>
    <row r="355">
      <c r="A355" s="1">
        <v>354.0</v>
      </c>
      <c r="B355" s="1" t="s">
        <v>222</v>
      </c>
      <c r="C355" s="1" t="s">
        <v>57</v>
      </c>
      <c r="D355" s="1" t="s">
        <v>862</v>
      </c>
      <c r="E355" s="1" t="s">
        <v>862</v>
      </c>
      <c r="F355" s="1" t="s">
        <v>863</v>
      </c>
      <c r="G355" s="1" t="b">
        <v>1</v>
      </c>
      <c r="H355" s="1" t="s">
        <v>29</v>
      </c>
      <c r="I355" s="1" t="s">
        <v>35</v>
      </c>
      <c r="J355" s="1" t="b">
        <v>0</v>
      </c>
      <c r="K355" s="1" t="s">
        <v>864</v>
      </c>
      <c r="L355" s="1" t="s">
        <v>31</v>
      </c>
      <c r="M355" s="3" t="str">
        <f t="shared" si="1"/>
        <v>✅ OK</v>
      </c>
      <c r="N355" s="3" t="str">
        <f t="shared" si="2"/>
        <v>OK</v>
      </c>
      <c r="O355" s="3" t="str">
        <f t="shared" si="3"/>
        <v>COMPLIANT</v>
      </c>
    </row>
    <row r="356">
      <c r="A356" s="1">
        <v>355.0</v>
      </c>
      <c r="B356" s="1" t="s">
        <v>865</v>
      </c>
      <c r="C356" s="1" t="s">
        <v>47</v>
      </c>
      <c r="D356" s="1" t="s">
        <v>51</v>
      </c>
      <c r="E356" s="1" t="s">
        <v>51</v>
      </c>
      <c r="F356" s="1" t="s">
        <v>866</v>
      </c>
      <c r="G356" s="1" t="b">
        <v>0</v>
      </c>
      <c r="H356" s="1" t="s">
        <v>19</v>
      </c>
      <c r="I356" s="1" t="s">
        <v>24</v>
      </c>
      <c r="J356" s="1" t="b">
        <v>0</v>
      </c>
      <c r="K356" s="1" t="s">
        <v>186</v>
      </c>
      <c r="L356" s="1" t="s">
        <v>31</v>
      </c>
      <c r="M356" s="3" t="str">
        <f t="shared" si="1"/>
        <v>✅ OK</v>
      </c>
      <c r="N356" s="3" t="str">
        <f t="shared" si="2"/>
        <v>OK</v>
      </c>
      <c r="O356" s="3" t="str">
        <f t="shared" si="3"/>
        <v>COMPLIANT</v>
      </c>
    </row>
    <row r="357">
      <c r="A357" s="1">
        <v>356.0</v>
      </c>
      <c r="B357" s="1" t="s">
        <v>867</v>
      </c>
      <c r="C357" s="1" t="s">
        <v>41</v>
      </c>
      <c r="D357" s="1" t="s">
        <v>79</v>
      </c>
      <c r="E357" s="1" t="s">
        <v>79</v>
      </c>
      <c r="F357" s="1" t="s">
        <v>868</v>
      </c>
      <c r="G357" s="1" t="b">
        <v>1</v>
      </c>
      <c r="H357" s="1" t="s">
        <v>44</v>
      </c>
      <c r="I357" s="1" t="s">
        <v>17</v>
      </c>
      <c r="J357" s="1" t="b">
        <v>1</v>
      </c>
      <c r="K357" s="1" t="s">
        <v>869</v>
      </c>
      <c r="L357" s="1" t="s">
        <v>31</v>
      </c>
      <c r="M357" s="3" t="str">
        <f t="shared" si="1"/>
        <v>✅ OK</v>
      </c>
      <c r="N357" s="3" t="str">
        <f t="shared" si="2"/>
        <v>OK</v>
      </c>
      <c r="O357" s="3" t="str">
        <f t="shared" si="3"/>
        <v>COMPLIANT</v>
      </c>
    </row>
    <row r="358">
      <c r="A358" s="1">
        <v>357.0</v>
      </c>
      <c r="B358" s="1" t="s">
        <v>427</v>
      </c>
      <c r="C358" s="1" t="s">
        <v>16</v>
      </c>
      <c r="D358" s="1" t="s">
        <v>173</v>
      </c>
      <c r="E358" s="1" t="s">
        <v>173</v>
      </c>
      <c r="F358" s="1" t="s">
        <v>870</v>
      </c>
      <c r="G358" s="1" t="b">
        <v>1</v>
      </c>
      <c r="H358" s="1" t="s">
        <v>44</v>
      </c>
      <c r="I358" s="1" t="s">
        <v>24</v>
      </c>
      <c r="J358" s="1" t="b">
        <v>0</v>
      </c>
      <c r="K358" s="1" t="s">
        <v>576</v>
      </c>
      <c r="L358" s="1" t="s">
        <v>20</v>
      </c>
      <c r="M358" s="3" t="str">
        <f t="shared" si="1"/>
        <v>✅ OK</v>
      </c>
      <c r="N358" s="3" t="str">
        <f t="shared" si="2"/>
        <v>OK</v>
      </c>
      <c r="O358" s="3" t="str">
        <f t="shared" si="3"/>
        <v>COMPLIANT</v>
      </c>
    </row>
    <row r="359">
      <c r="A359" s="1">
        <v>358.0</v>
      </c>
      <c r="B359" s="1" t="s">
        <v>871</v>
      </c>
      <c r="C359" s="1" t="s">
        <v>47</v>
      </c>
      <c r="D359" s="1" t="s">
        <v>66</v>
      </c>
      <c r="E359" s="1" t="s">
        <v>66</v>
      </c>
      <c r="F359" s="1" t="s">
        <v>872</v>
      </c>
      <c r="G359" s="1" t="b">
        <v>0</v>
      </c>
      <c r="H359" s="1" t="s">
        <v>29</v>
      </c>
      <c r="I359" s="1" t="s">
        <v>24</v>
      </c>
      <c r="J359" s="1" t="b">
        <v>0</v>
      </c>
      <c r="K359" s="1" t="s">
        <v>873</v>
      </c>
      <c r="L359" s="1" t="s">
        <v>20</v>
      </c>
      <c r="M359" s="3" t="str">
        <f t="shared" si="1"/>
        <v>✅ OK</v>
      </c>
      <c r="N359" s="3" t="str">
        <f t="shared" si="2"/>
        <v>OK</v>
      </c>
      <c r="O359" s="3" t="str">
        <f t="shared" si="3"/>
        <v>COMPLIANT</v>
      </c>
    </row>
    <row r="360">
      <c r="A360" s="1">
        <v>359.0</v>
      </c>
      <c r="B360" s="1" t="s">
        <v>560</v>
      </c>
      <c r="C360" s="1" t="s">
        <v>16</v>
      </c>
      <c r="D360" s="1" t="s">
        <v>126</v>
      </c>
      <c r="E360" s="1" t="s">
        <v>126</v>
      </c>
      <c r="F360" s="1" t="s">
        <v>874</v>
      </c>
      <c r="G360" s="1" t="b">
        <v>0</v>
      </c>
      <c r="H360" s="1" t="s">
        <v>44</v>
      </c>
      <c r="I360" s="1" t="s">
        <v>24</v>
      </c>
      <c r="J360" s="1" t="b">
        <v>1</v>
      </c>
      <c r="K360" s="2">
        <v>45756.0</v>
      </c>
      <c r="L360" s="1" t="s">
        <v>20</v>
      </c>
      <c r="M360" s="3" t="str">
        <f t="shared" si="1"/>
        <v>✅ OK</v>
      </c>
      <c r="N360" s="3" t="str">
        <f t="shared" si="2"/>
        <v>OK</v>
      </c>
      <c r="O360" s="3" t="str">
        <f t="shared" si="3"/>
        <v>COMPLIANT</v>
      </c>
    </row>
    <row r="361">
      <c r="A361" s="1">
        <v>360.0</v>
      </c>
      <c r="B361" s="1" t="s">
        <v>323</v>
      </c>
      <c r="C361" s="1" t="s">
        <v>41</v>
      </c>
      <c r="D361" s="1" t="s">
        <v>578</v>
      </c>
      <c r="E361" s="1" t="s">
        <v>578</v>
      </c>
      <c r="F361" s="1" t="s">
        <v>875</v>
      </c>
      <c r="G361" s="1" t="b">
        <v>0</v>
      </c>
      <c r="H361" s="1" t="s">
        <v>19</v>
      </c>
      <c r="I361" s="1" t="s">
        <v>24</v>
      </c>
      <c r="J361" s="1" t="b">
        <v>1</v>
      </c>
      <c r="K361" s="2">
        <v>45545.0</v>
      </c>
      <c r="L361" s="1" t="s">
        <v>20</v>
      </c>
      <c r="M361" s="3" t="str">
        <f t="shared" si="1"/>
        <v>✅ OK</v>
      </c>
      <c r="N361" s="3" t="str">
        <f t="shared" si="2"/>
        <v>OK</v>
      </c>
      <c r="O361" s="3" t="str">
        <f t="shared" si="3"/>
        <v>COMPLIANT</v>
      </c>
    </row>
    <row r="362">
      <c r="A362" s="1">
        <v>361.0</v>
      </c>
      <c r="B362" s="1" t="s">
        <v>113</v>
      </c>
      <c r="C362" s="1" t="s">
        <v>16</v>
      </c>
      <c r="D362" s="1" t="s">
        <v>666</v>
      </c>
      <c r="E362" s="1" t="s">
        <v>666</v>
      </c>
      <c r="F362" s="1" t="s">
        <v>876</v>
      </c>
      <c r="G362" s="1" t="b">
        <v>0</v>
      </c>
      <c r="H362" s="1" t="s">
        <v>19</v>
      </c>
      <c r="I362" s="1" t="s">
        <v>17</v>
      </c>
      <c r="J362" s="1" t="b">
        <v>0</v>
      </c>
      <c r="K362" s="2">
        <v>45547.0</v>
      </c>
      <c r="L362" s="1" t="s">
        <v>20</v>
      </c>
      <c r="M362" s="3" t="str">
        <f t="shared" si="1"/>
        <v>✅ OK</v>
      </c>
      <c r="N362" s="3" t="str">
        <f t="shared" si="2"/>
        <v>OK</v>
      </c>
      <c r="O362" s="3" t="str">
        <f t="shared" si="3"/>
        <v>COMPLIANT</v>
      </c>
    </row>
    <row r="363">
      <c r="A363" s="1">
        <v>362.0</v>
      </c>
      <c r="B363" s="1" t="s">
        <v>877</v>
      </c>
      <c r="C363" s="1" t="s">
        <v>47</v>
      </c>
      <c r="D363" s="1" t="s">
        <v>33</v>
      </c>
      <c r="E363" s="1" t="s">
        <v>33</v>
      </c>
      <c r="F363" s="1" t="s">
        <v>878</v>
      </c>
      <c r="G363" s="1" t="b">
        <v>1</v>
      </c>
      <c r="H363" s="1" t="s">
        <v>29</v>
      </c>
      <c r="I363" s="1" t="s">
        <v>35</v>
      </c>
      <c r="J363" s="1" t="b">
        <v>0</v>
      </c>
      <c r="K363" s="1" t="s">
        <v>879</v>
      </c>
      <c r="L363" s="1" t="s">
        <v>31</v>
      </c>
      <c r="M363" s="3" t="str">
        <f t="shared" si="1"/>
        <v>✅ OK</v>
      </c>
      <c r="N363" s="3" t="str">
        <f t="shared" si="2"/>
        <v>OK</v>
      </c>
      <c r="O363" s="3" t="str">
        <f t="shared" si="3"/>
        <v>COMPLIANT</v>
      </c>
    </row>
    <row r="364">
      <c r="A364" s="1">
        <v>363.0</v>
      </c>
      <c r="B364" s="1" t="s">
        <v>265</v>
      </c>
      <c r="C364" s="1" t="s">
        <v>41</v>
      </c>
      <c r="D364" s="1" t="s">
        <v>42</v>
      </c>
      <c r="E364" s="1" t="s">
        <v>42</v>
      </c>
      <c r="F364" s="1" t="s">
        <v>880</v>
      </c>
      <c r="G364" s="1" t="b">
        <v>0</v>
      </c>
      <c r="H364" s="1" t="s">
        <v>19</v>
      </c>
      <c r="I364" s="1" t="s">
        <v>24</v>
      </c>
      <c r="J364" s="1" t="b">
        <v>1</v>
      </c>
      <c r="K364" s="1" t="s">
        <v>763</v>
      </c>
      <c r="L364" s="1" t="s">
        <v>20</v>
      </c>
      <c r="M364" s="3" t="str">
        <f t="shared" si="1"/>
        <v>✅ OK</v>
      </c>
      <c r="N364" s="3" t="str">
        <f t="shared" si="2"/>
        <v>OK</v>
      </c>
      <c r="O364" s="3" t="str">
        <f t="shared" si="3"/>
        <v>COMPLIANT</v>
      </c>
    </row>
    <row r="365">
      <c r="A365" s="1">
        <v>364.0</v>
      </c>
      <c r="B365" s="1" t="s">
        <v>881</v>
      </c>
      <c r="C365" s="1" t="s">
        <v>41</v>
      </c>
      <c r="D365" s="1" t="s">
        <v>79</v>
      </c>
      <c r="E365" s="1" t="s">
        <v>79</v>
      </c>
      <c r="F365" s="1" t="s">
        <v>882</v>
      </c>
      <c r="G365" s="1" t="b">
        <v>0</v>
      </c>
      <c r="H365" s="1" t="s">
        <v>29</v>
      </c>
      <c r="I365" s="1" t="s">
        <v>24</v>
      </c>
      <c r="J365" s="1" t="b">
        <v>0</v>
      </c>
      <c r="K365" s="1" t="s">
        <v>264</v>
      </c>
      <c r="L365" s="1" t="s">
        <v>20</v>
      </c>
      <c r="M365" s="3" t="str">
        <f t="shared" si="1"/>
        <v>✅ OK</v>
      </c>
      <c r="N365" s="3" t="str">
        <f t="shared" si="2"/>
        <v>OK</v>
      </c>
      <c r="O365" s="3" t="str">
        <f t="shared" si="3"/>
        <v>COMPLIANT</v>
      </c>
    </row>
    <row r="366">
      <c r="A366" s="1">
        <v>365.0</v>
      </c>
      <c r="B366" s="1" t="s">
        <v>883</v>
      </c>
      <c r="C366" s="1" t="s">
        <v>41</v>
      </c>
      <c r="D366" s="1" t="s">
        <v>79</v>
      </c>
      <c r="E366" s="1" t="s">
        <v>79</v>
      </c>
      <c r="F366" s="1" t="s">
        <v>884</v>
      </c>
      <c r="G366" s="1" t="b">
        <v>1</v>
      </c>
      <c r="H366" s="1" t="s">
        <v>44</v>
      </c>
      <c r="I366" s="1" t="s">
        <v>17</v>
      </c>
      <c r="J366" s="1" t="b">
        <v>1</v>
      </c>
      <c r="K366" s="2">
        <v>45848.0</v>
      </c>
      <c r="L366" s="1" t="s">
        <v>31</v>
      </c>
      <c r="M366" s="3" t="str">
        <f t="shared" si="1"/>
        <v>✅ OK</v>
      </c>
      <c r="N366" s="3" t="str">
        <f t="shared" si="2"/>
        <v>OK</v>
      </c>
      <c r="O366" s="3" t="str">
        <f t="shared" si="3"/>
        <v>COMPLIANT</v>
      </c>
    </row>
    <row r="367">
      <c r="A367" s="1">
        <v>366.0</v>
      </c>
      <c r="B367" s="1" t="s">
        <v>86</v>
      </c>
      <c r="C367" s="1" t="s">
        <v>57</v>
      </c>
      <c r="D367" s="1" t="s">
        <v>312</v>
      </c>
      <c r="E367" s="1" t="s">
        <v>312</v>
      </c>
      <c r="F367" s="1" t="s">
        <v>885</v>
      </c>
      <c r="G367" s="1" t="b">
        <v>0</v>
      </c>
      <c r="H367" s="1" t="s">
        <v>29</v>
      </c>
      <c r="I367" s="1" t="s">
        <v>35</v>
      </c>
      <c r="J367" s="1" t="b">
        <v>0</v>
      </c>
      <c r="K367" s="1" t="s">
        <v>886</v>
      </c>
      <c r="L367" s="1" t="s">
        <v>31</v>
      </c>
      <c r="M367" s="3" t="str">
        <f t="shared" si="1"/>
        <v>✅ OK</v>
      </c>
      <c r="N367" s="3" t="str">
        <f t="shared" si="2"/>
        <v>OK</v>
      </c>
      <c r="O367" s="3" t="str">
        <f t="shared" si="3"/>
        <v>COMPLIANT</v>
      </c>
    </row>
    <row r="368">
      <c r="A368" s="1">
        <v>367.0</v>
      </c>
      <c r="B368" s="1" t="s">
        <v>867</v>
      </c>
      <c r="C368" s="1" t="s">
        <v>47</v>
      </c>
      <c r="D368" s="1" t="s">
        <v>66</v>
      </c>
      <c r="E368" s="1" t="s">
        <v>66</v>
      </c>
      <c r="F368" s="1" t="s">
        <v>887</v>
      </c>
      <c r="G368" s="1" t="b">
        <v>0</v>
      </c>
      <c r="H368" s="1" t="s">
        <v>44</v>
      </c>
      <c r="I368" s="1" t="s">
        <v>17</v>
      </c>
      <c r="J368" s="1" t="b">
        <v>1</v>
      </c>
      <c r="K368" s="1" t="s">
        <v>888</v>
      </c>
      <c r="L368" s="1" t="s">
        <v>31</v>
      </c>
      <c r="M368" s="3" t="str">
        <f t="shared" si="1"/>
        <v>✅ OK</v>
      </c>
      <c r="N368" s="3" t="str">
        <f t="shared" si="2"/>
        <v>OK</v>
      </c>
      <c r="O368" s="3" t="str">
        <f t="shared" si="3"/>
        <v>COMPLIANT</v>
      </c>
    </row>
    <row r="369">
      <c r="A369" s="1">
        <v>368.0</v>
      </c>
      <c r="B369" s="1" t="s">
        <v>860</v>
      </c>
      <c r="C369" s="1" t="s">
        <v>26</v>
      </c>
      <c r="D369" s="1" t="s">
        <v>79</v>
      </c>
      <c r="E369" s="1" t="s">
        <v>79</v>
      </c>
      <c r="F369" s="1" t="s">
        <v>889</v>
      </c>
      <c r="G369" s="1" t="b">
        <v>1</v>
      </c>
      <c r="H369" s="1" t="s">
        <v>29</v>
      </c>
      <c r="I369" s="1" t="s">
        <v>24</v>
      </c>
      <c r="J369" s="1" t="b">
        <v>0</v>
      </c>
      <c r="K369" s="2">
        <v>45334.0</v>
      </c>
      <c r="L369" s="1" t="s">
        <v>31</v>
      </c>
      <c r="M369" s="3" t="str">
        <f t="shared" si="1"/>
        <v>✅ OK</v>
      </c>
      <c r="N369" s="3" t="str">
        <f t="shared" si="2"/>
        <v>OK</v>
      </c>
      <c r="O369" s="3" t="str">
        <f t="shared" si="3"/>
        <v>COMPLIANT</v>
      </c>
    </row>
    <row r="370">
      <c r="A370" s="1">
        <v>369.0</v>
      </c>
      <c r="B370" s="1" t="s">
        <v>427</v>
      </c>
      <c r="C370" s="1" t="s">
        <v>41</v>
      </c>
      <c r="D370" s="1" t="s">
        <v>42</v>
      </c>
      <c r="E370" s="1" t="s">
        <v>42</v>
      </c>
      <c r="F370" s="1" t="s">
        <v>890</v>
      </c>
      <c r="G370" s="1" t="b">
        <v>1</v>
      </c>
      <c r="H370" s="1" t="s">
        <v>29</v>
      </c>
      <c r="I370" s="1" t="s">
        <v>35</v>
      </c>
      <c r="J370" s="1" t="b">
        <v>1</v>
      </c>
      <c r="K370" s="2">
        <v>45964.0</v>
      </c>
      <c r="L370" s="1" t="s">
        <v>20</v>
      </c>
      <c r="M370" s="3" t="str">
        <f t="shared" si="1"/>
        <v>✅ OK</v>
      </c>
      <c r="N370" s="3" t="str">
        <f t="shared" si="2"/>
        <v>OK</v>
      </c>
      <c r="O370" s="3" t="str">
        <f t="shared" si="3"/>
        <v>COMPLIANT</v>
      </c>
    </row>
    <row r="371">
      <c r="A371" s="1">
        <v>370.0</v>
      </c>
      <c r="B371" s="1" t="s">
        <v>154</v>
      </c>
      <c r="C371" s="1" t="s">
        <v>57</v>
      </c>
      <c r="D371" s="1" t="s">
        <v>51</v>
      </c>
      <c r="E371" s="1" t="s">
        <v>51</v>
      </c>
      <c r="F371" s="1" t="s">
        <v>891</v>
      </c>
      <c r="G371" s="1" t="b">
        <v>1</v>
      </c>
      <c r="H371" s="1" t="s">
        <v>44</v>
      </c>
      <c r="I371" s="1" t="s">
        <v>17</v>
      </c>
      <c r="J371" s="1" t="b">
        <v>1</v>
      </c>
      <c r="K371" s="1" t="s">
        <v>892</v>
      </c>
      <c r="L371" s="1" t="s">
        <v>31</v>
      </c>
      <c r="M371" s="3" t="str">
        <f t="shared" si="1"/>
        <v>✅ OK</v>
      </c>
      <c r="N371" s="3" t="str">
        <f t="shared" si="2"/>
        <v>OK</v>
      </c>
      <c r="O371" s="3" t="str">
        <f t="shared" si="3"/>
        <v>COMPLIANT</v>
      </c>
    </row>
    <row r="372">
      <c r="A372" s="1">
        <v>371.0</v>
      </c>
      <c r="B372" s="1" t="s">
        <v>893</v>
      </c>
      <c r="C372" s="1" t="s">
        <v>57</v>
      </c>
      <c r="D372" s="1" t="s">
        <v>400</v>
      </c>
      <c r="E372" s="1" t="s">
        <v>400</v>
      </c>
      <c r="F372" s="1" t="s">
        <v>894</v>
      </c>
      <c r="G372" s="1" t="b">
        <v>0</v>
      </c>
      <c r="H372" s="1" t="s">
        <v>29</v>
      </c>
      <c r="I372" s="1" t="s">
        <v>24</v>
      </c>
      <c r="J372" s="1" t="b">
        <v>0</v>
      </c>
      <c r="K372" s="1" t="s">
        <v>298</v>
      </c>
      <c r="L372" s="1" t="s">
        <v>31</v>
      </c>
      <c r="M372" s="3" t="str">
        <f t="shared" si="1"/>
        <v>✅ OK</v>
      </c>
      <c r="N372" s="3" t="str">
        <f t="shared" si="2"/>
        <v>OK</v>
      </c>
      <c r="O372" s="3" t="str">
        <f t="shared" si="3"/>
        <v>COMPLIANT</v>
      </c>
    </row>
    <row r="373">
      <c r="A373" s="1">
        <v>372.0</v>
      </c>
      <c r="B373" s="1" t="s">
        <v>871</v>
      </c>
      <c r="C373" s="1" t="s">
        <v>16</v>
      </c>
      <c r="D373" s="1" t="s">
        <v>33</v>
      </c>
      <c r="E373" s="1" t="s">
        <v>33</v>
      </c>
      <c r="F373" s="1" t="s">
        <v>895</v>
      </c>
      <c r="G373" s="1" t="b">
        <v>0</v>
      </c>
      <c r="H373" s="1" t="s">
        <v>29</v>
      </c>
      <c r="I373" s="1" t="s">
        <v>35</v>
      </c>
      <c r="J373" s="1" t="b">
        <v>1</v>
      </c>
      <c r="K373" s="1" t="s">
        <v>896</v>
      </c>
      <c r="L373" s="1" t="s">
        <v>20</v>
      </c>
      <c r="M373" s="3" t="str">
        <f t="shared" si="1"/>
        <v>✅ OK</v>
      </c>
      <c r="N373" s="3" t="str">
        <f t="shared" si="2"/>
        <v>OK</v>
      </c>
      <c r="O373" s="3" t="str">
        <f t="shared" si="3"/>
        <v>COMPLIANT</v>
      </c>
    </row>
    <row r="374">
      <c r="A374" s="1">
        <v>373.0</v>
      </c>
      <c r="B374" s="1" t="s">
        <v>759</v>
      </c>
      <c r="C374" s="1" t="s">
        <v>47</v>
      </c>
      <c r="D374" s="1" t="s">
        <v>33</v>
      </c>
      <c r="E374" s="1" t="s">
        <v>33</v>
      </c>
      <c r="F374" s="1" t="s">
        <v>897</v>
      </c>
      <c r="G374" s="1" t="b">
        <v>1</v>
      </c>
      <c r="H374" s="1" t="s">
        <v>44</v>
      </c>
      <c r="I374" s="1" t="s">
        <v>17</v>
      </c>
      <c r="J374" s="1" t="b">
        <v>0</v>
      </c>
      <c r="K374" s="1" t="s">
        <v>848</v>
      </c>
      <c r="L374" s="1" t="s">
        <v>20</v>
      </c>
      <c r="M374" s="3" t="str">
        <f t="shared" si="1"/>
        <v>✅ OK</v>
      </c>
      <c r="N374" s="3" t="str">
        <f t="shared" si="2"/>
        <v>OK</v>
      </c>
      <c r="O374" s="3" t="str">
        <f t="shared" si="3"/>
        <v>COMPLIANT</v>
      </c>
    </row>
    <row r="375">
      <c r="A375" s="1">
        <v>374.0</v>
      </c>
      <c r="B375" s="1" t="s">
        <v>259</v>
      </c>
      <c r="C375" s="1" t="s">
        <v>57</v>
      </c>
      <c r="D375" s="1" t="s">
        <v>108</v>
      </c>
      <c r="E375" s="1" t="s">
        <v>108</v>
      </c>
      <c r="F375" s="1" t="s">
        <v>898</v>
      </c>
      <c r="G375" s="1" t="b">
        <v>1</v>
      </c>
      <c r="H375" s="1" t="s">
        <v>44</v>
      </c>
      <c r="I375" s="1" t="s">
        <v>35</v>
      </c>
      <c r="J375" s="1" t="b">
        <v>1</v>
      </c>
      <c r="K375" s="2">
        <v>45355.0</v>
      </c>
      <c r="L375" s="1" t="s">
        <v>20</v>
      </c>
      <c r="M375" s="3" t="str">
        <f t="shared" si="1"/>
        <v>✅ OK</v>
      </c>
      <c r="N375" s="3" t="str">
        <f t="shared" si="2"/>
        <v>OK</v>
      </c>
      <c r="O375" s="3" t="str">
        <f t="shared" si="3"/>
        <v>COMPLIANT</v>
      </c>
    </row>
    <row r="376">
      <c r="A376" s="1">
        <v>375.0</v>
      </c>
      <c r="B376" s="1" t="s">
        <v>265</v>
      </c>
      <c r="C376" s="1" t="s">
        <v>47</v>
      </c>
      <c r="D376" s="1" t="s">
        <v>292</v>
      </c>
      <c r="E376" s="1" t="s">
        <v>292</v>
      </c>
      <c r="F376" s="1" t="s">
        <v>899</v>
      </c>
      <c r="G376" s="1" t="b">
        <v>0</v>
      </c>
      <c r="H376" s="1" t="s">
        <v>44</v>
      </c>
      <c r="I376" s="1" t="s">
        <v>35</v>
      </c>
      <c r="J376" s="1" t="b">
        <v>1</v>
      </c>
      <c r="K376" s="1" t="s">
        <v>900</v>
      </c>
      <c r="L376" s="1" t="s">
        <v>31</v>
      </c>
      <c r="M376" s="3" t="str">
        <f t="shared" si="1"/>
        <v>✅ OK</v>
      </c>
      <c r="N376" s="3" t="str">
        <f t="shared" si="2"/>
        <v>OK</v>
      </c>
      <c r="O376" s="3" t="str">
        <f t="shared" si="3"/>
        <v>COMPLIANT</v>
      </c>
    </row>
    <row r="377">
      <c r="A377" s="1">
        <v>376.0</v>
      </c>
      <c r="B377" s="1" t="s">
        <v>901</v>
      </c>
      <c r="C377" s="1" t="s">
        <v>26</v>
      </c>
      <c r="D377" s="1" t="s">
        <v>431</v>
      </c>
      <c r="E377" s="1" t="s">
        <v>431</v>
      </c>
      <c r="F377" s="1" t="s">
        <v>902</v>
      </c>
      <c r="G377" s="1" t="b">
        <v>1</v>
      </c>
      <c r="H377" s="1" t="s">
        <v>44</v>
      </c>
      <c r="I377" s="1" t="s">
        <v>24</v>
      </c>
      <c r="J377" s="1" t="b">
        <v>1</v>
      </c>
      <c r="K377" s="1" t="s">
        <v>903</v>
      </c>
      <c r="L377" s="1" t="s">
        <v>31</v>
      </c>
      <c r="M377" s="3" t="str">
        <f t="shared" si="1"/>
        <v>✅ OK</v>
      </c>
      <c r="N377" s="3" t="str">
        <f t="shared" si="2"/>
        <v>OK</v>
      </c>
      <c r="O377" s="3" t="str">
        <f t="shared" si="3"/>
        <v>COMPLIANT</v>
      </c>
    </row>
    <row r="378">
      <c r="A378" s="1">
        <v>377.0</v>
      </c>
      <c r="B378" s="1" t="s">
        <v>476</v>
      </c>
      <c r="C378" s="1" t="s">
        <v>41</v>
      </c>
      <c r="D378" s="1" t="s">
        <v>144</v>
      </c>
      <c r="E378" s="1" t="s">
        <v>144</v>
      </c>
      <c r="F378" s="1" t="s">
        <v>904</v>
      </c>
      <c r="G378" s="1" t="b">
        <v>0</v>
      </c>
      <c r="H378" s="1" t="s">
        <v>44</v>
      </c>
      <c r="I378" s="1" t="s">
        <v>17</v>
      </c>
      <c r="J378" s="1" t="b">
        <v>0</v>
      </c>
      <c r="K378" s="1" t="s">
        <v>433</v>
      </c>
      <c r="L378" s="1" t="s">
        <v>20</v>
      </c>
      <c r="M378" s="3" t="str">
        <f t="shared" si="1"/>
        <v>✅ OK</v>
      </c>
      <c r="N378" s="3" t="str">
        <f t="shared" si="2"/>
        <v>OK</v>
      </c>
      <c r="O378" s="3" t="str">
        <f t="shared" si="3"/>
        <v>COMPLIANT</v>
      </c>
    </row>
    <row r="379">
      <c r="A379" s="1">
        <v>378.0</v>
      </c>
      <c r="B379" s="1" t="s">
        <v>461</v>
      </c>
      <c r="C379" s="1" t="s">
        <v>41</v>
      </c>
      <c r="D379" s="1" t="s">
        <v>42</v>
      </c>
      <c r="E379" s="1" t="s">
        <v>42</v>
      </c>
      <c r="F379" s="1" t="s">
        <v>905</v>
      </c>
      <c r="G379" s="1" t="b">
        <v>1</v>
      </c>
      <c r="H379" s="1" t="s">
        <v>29</v>
      </c>
      <c r="I379" s="1" t="s">
        <v>35</v>
      </c>
      <c r="J379" s="1" t="b">
        <v>1</v>
      </c>
      <c r="K379" s="2">
        <v>45232.0</v>
      </c>
      <c r="L379" s="1" t="s">
        <v>31</v>
      </c>
      <c r="M379" s="3" t="str">
        <f t="shared" si="1"/>
        <v>✅ OK</v>
      </c>
      <c r="N379" s="3" t="str">
        <f t="shared" si="2"/>
        <v>OK</v>
      </c>
      <c r="O379" s="3" t="str">
        <f t="shared" si="3"/>
        <v>COMPLIANT</v>
      </c>
    </row>
    <row r="380">
      <c r="A380" s="1">
        <v>379.0</v>
      </c>
      <c r="B380" s="1" t="s">
        <v>46</v>
      </c>
      <c r="C380" s="1" t="s">
        <v>41</v>
      </c>
      <c r="D380" s="1" t="s">
        <v>22</v>
      </c>
      <c r="E380" s="1" t="s">
        <v>22</v>
      </c>
      <c r="F380" s="1" t="s">
        <v>906</v>
      </c>
      <c r="G380" s="1" t="b">
        <v>0</v>
      </c>
      <c r="H380" s="1" t="s">
        <v>29</v>
      </c>
      <c r="I380" s="1" t="s">
        <v>17</v>
      </c>
      <c r="J380" s="1" t="b">
        <v>1</v>
      </c>
      <c r="K380" s="2">
        <v>45781.0</v>
      </c>
      <c r="L380" s="1" t="s">
        <v>31</v>
      </c>
      <c r="M380" s="3" t="str">
        <f t="shared" si="1"/>
        <v>✅ OK</v>
      </c>
      <c r="N380" s="3" t="str">
        <f t="shared" si="2"/>
        <v>OK</v>
      </c>
      <c r="O380" s="3" t="str">
        <f t="shared" si="3"/>
        <v>COMPLIANT</v>
      </c>
    </row>
    <row r="381">
      <c r="A381" s="1">
        <v>380.0</v>
      </c>
      <c r="B381" s="1" t="s">
        <v>659</v>
      </c>
      <c r="C381" s="1" t="s">
        <v>26</v>
      </c>
      <c r="D381" s="1" t="s">
        <v>79</v>
      </c>
      <c r="E381" s="1" t="s">
        <v>79</v>
      </c>
      <c r="F381" s="1" t="s">
        <v>907</v>
      </c>
      <c r="G381" s="1" t="b">
        <v>1</v>
      </c>
      <c r="H381" s="1" t="s">
        <v>44</v>
      </c>
      <c r="I381" s="1" t="s">
        <v>24</v>
      </c>
      <c r="J381" s="1" t="b">
        <v>1</v>
      </c>
      <c r="K381" s="1" t="s">
        <v>734</v>
      </c>
      <c r="L381" s="1" t="s">
        <v>31</v>
      </c>
      <c r="M381" s="3" t="str">
        <f t="shared" si="1"/>
        <v>✅ OK</v>
      </c>
      <c r="N381" s="3" t="str">
        <f t="shared" si="2"/>
        <v>OK</v>
      </c>
      <c r="O381" s="3" t="str">
        <f t="shared" si="3"/>
        <v>COMPLIANT</v>
      </c>
    </row>
    <row r="382">
      <c r="A382" s="1">
        <v>381.0</v>
      </c>
      <c r="B382" s="1" t="s">
        <v>754</v>
      </c>
      <c r="C382" s="1" t="s">
        <v>26</v>
      </c>
      <c r="D382" s="1" t="s">
        <v>678</v>
      </c>
      <c r="E382" s="1" t="s">
        <v>678</v>
      </c>
      <c r="F382" s="1" t="s">
        <v>908</v>
      </c>
      <c r="G382" s="1" t="b">
        <v>0</v>
      </c>
      <c r="H382" s="1" t="s">
        <v>29</v>
      </c>
      <c r="I382" s="1" t="s">
        <v>17</v>
      </c>
      <c r="J382" s="1" t="b">
        <v>0</v>
      </c>
      <c r="K382" s="2">
        <v>45454.0</v>
      </c>
      <c r="L382" s="1" t="s">
        <v>20</v>
      </c>
      <c r="M382" s="3" t="str">
        <f t="shared" si="1"/>
        <v>✅ OK</v>
      </c>
      <c r="N382" s="3" t="str">
        <f t="shared" si="2"/>
        <v>OK</v>
      </c>
      <c r="O382" s="3" t="str">
        <f t="shared" si="3"/>
        <v>COMPLIANT</v>
      </c>
    </row>
    <row r="383">
      <c r="A383" s="1">
        <v>382.0</v>
      </c>
      <c r="B383" s="1" t="s">
        <v>909</v>
      </c>
      <c r="C383" s="1" t="s">
        <v>47</v>
      </c>
      <c r="D383" s="1" t="s">
        <v>670</v>
      </c>
      <c r="E383" s="1" t="s">
        <v>670</v>
      </c>
      <c r="F383" s="1" t="s">
        <v>910</v>
      </c>
      <c r="G383" s="1" t="b">
        <v>0</v>
      </c>
      <c r="H383" s="1" t="s">
        <v>29</v>
      </c>
      <c r="I383" s="1" t="s">
        <v>35</v>
      </c>
      <c r="J383" s="1" t="b">
        <v>0</v>
      </c>
      <c r="K383" s="2">
        <v>45482.0</v>
      </c>
      <c r="L383" s="1" t="s">
        <v>31</v>
      </c>
      <c r="M383" s="3" t="str">
        <f t="shared" si="1"/>
        <v>✅ OK</v>
      </c>
      <c r="N383" s="3" t="str">
        <f t="shared" si="2"/>
        <v>OK</v>
      </c>
      <c r="O383" s="3" t="str">
        <f t="shared" si="3"/>
        <v>COMPLIANT</v>
      </c>
    </row>
    <row r="384">
      <c r="A384" s="1">
        <v>383.0</v>
      </c>
      <c r="B384" s="1" t="s">
        <v>146</v>
      </c>
      <c r="C384" s="1" t="s">
        <v>57</v>
      </c>
      <c r="D384" s="1" t="s">
        <v>42</v>
      </c>
      <c r="E384" s="1" t="s">
        <v>42</v>
      </c>
      <c r="F384" s="1" t="s">
        <v>911</v>
      </c>
      <c r="G384" s="1" t="b">
        <v>0</v>
      </c>
      <c r="H384" s="1" t="s">
        <v>29</v>
      </c>
      <c r="I384" s="1" t="s">
        <v>35</v>
      </c>
      <c r="J384" s="1" t="b">
        <v>1</v>
      </c>
      <c r="K384" s="1" t="s">
        <v>912</v>
      </c>
      <c r="L384" s="1" t="s">
        <v>31</v>
      </c>
      <c r="M384" s="3" t="str">
        <f t="shared" si="1"/>
        <v>✅ OK</v>
      </c>
      <c r="N384" s="3" t="str">
        <f t="shared" si="2"/>
        <v>OK</v>
      </c>
      <c r="O384" s="3" t="str">
        <f t="shared" si="3"/>
        <v>COMPLIANT</v>
      </c>
    </row>
    <row r="385">
      <c r="A385" s="1">
        <v>384.0</v>
      </c>
      <c r="B385" s="1" t="s">
        <v>213</v>
      </c>
      <c r="C385" s="1" t="s">
        <v>16</v>
      </c>
      <c r="D385" s="1" t="s">
        <v>69</v>
      </c>
      <c r="E385" s="1" t="s">
        <v>69</v>
      </c>
      <c r="F385" s="1" t="s">
        <v>913</v>
      </c>
      <c r="G385" s="1" t="b">
        <v>1</v>
      </c>
      <c r="H385" s="1" t="s">
        <v>29</v>
      </c>
      <c r="I385" s="1" t="s">
        <v>24</v>
      </c>
      <c r="J385" s="1" t="b">
        <v>1</v>
      </c>
      <c r="K385" s="1" t="s">
        <v>502</v>
      </c>
      <c r="L385" s="1" t="s">
        <v>31</v>
      </c>
      <c r="M385" s="3" t="str">
        <f t="shared" si="1"/>
        <v>✅ OK</v>
      </c>
      <c r="N385" s="3" t="str">
        <f t="shared" si="2"/>
        <v>OK</v>
      </c>
      <c r="O385" s="3" t="str">
        <f t="shared" si="3"/>
        <v>COMPLIANT</v>
      </c>
    </row>
    <row r="386">
      <c r="A386" s="1">
        <v>385.0</v>
      </c>
      <c r="B386" s="1" t="s">
        <v>914</v>
      </c>
      <c r="C386" s="1" t="s">
        <v>41</v>
      </c>
      <c r="D386" s="1" t="s">
        <v>42</v>
      </c>
      <c r="E386" s="1" t="s">
        <v>42</v>
      </c>
      <c r="F386" s="1" t="s">
        <v>915</v>
      </c>
      <c r="G386" s="1" t="b">
        <v>1</v>
      </c>
      <c r="H386" s="1" t="s">
        <v>29</v>
      </c>
      <c r="I386" s="1" t="s">
        <v>17</v>
      </c>
      <c r="J386" s="1" t="b">
        <v>1</v>
      </c>
      <c r="K386" s="1" t="s">
        <v>576</v>
      </c>
      <c r="L386" s="1" t="s">
        <v>20</v>
      </c>
      <c r="M386" s="3" t="str">
        <f t="shared" si="1"/>
        <v>✅ OK</v>
      </c>
      <c r="N386" s="3" t="str">
        <f t="shared" si="2"/>
        <v>OK</v>
      </c>
      <c r="O386" s="3" t="str">
        <f t="shared" si="3"/>
        <v>COMPLIANT</v>
      </c>
    </row>
    <row r="387">
      <c r="A387" s="1">
        <v>386.0</v>
      </c>
      <c r="B387" s="1" t="s">
        <v>916</v>
      </c>
      <c r="C387" s="1" t="s">
        <v>47</v>
      </c>
      <c r="D387" s="1" t="s">
        <v>431</v>
      </c>
      <c r="E387" s="1" t="s">
        <v>431</v>
      </c>
      <c r="F387" s="1" t="s">
        <v>917</v>
      </c>
      <c r="G387" s="1" t="b">
        <v>1</v>
      </c>
      <c r="I387" s="1" t="s">
        <v>17</v>
      </c>
      <c r="J387" s="1" t="b">
        <v>0</v>
      </c>
      <c r="K387" s="1" t="s">
        <v>918</v>
      </c>
      <c r="L387" s="1" t="s">
        <v>20</v>
      </c>
      <c r="M387" s="3" t="str">
        <f t="shared" si="1"/>
        <v>✅ OK</v>
      </c>
      <c r="N387" s="3" t="str">
        <f t="shared" si="2"/>
        <v>OK</v>
      </c>
      <c r="O387" s="3" t="str">
        <f t="shared" si="3"/>
        <v>COMPLIANT</v>
      </c>
    </row>
    <row r="388">
      <c r="A388" s="1">
        <v>387.0</v>
      </c>
      <c r="B388" s="1" t="s">
        <v>256</v>
      </c>
      <c r="C388" s="1" t="s">
        <v>47</v>
      </c>
      <c r="D388" s="1" t="s">
        <v>144</v>
      </c>
      <c r="E388" s="1" t="s">
        <v>144</v>
      </c>
      <c r="F388" s="1" t="s">
        <v>919</v>
      </c>
      <c r="G388" s="1" t="b">
        <v>1</v>
      </c>
      <c r="H388" s="1" t="s">
        <v>44</v>
      </c>
      <c r="I388" s="1" t="s">
        <v>24</v>
      </c>
      <c r="J388" s="1" t="b">
        <v>1</v>
      </c>
      <c r="K388" s="1" t="s">
        <v>920</v>
      </c>
      <c r="L388" s="1" t="s">
        <v>31</v>
      </c>
      <c r="M388" s="3" t="str">
        <f t="shared" si="1"/>
        <v>✅ OK</v>
      </c>
      <c r="N388" s="3" t="str">
        <f t="shared" si="2"/>
        <v>OK</v>
      </c>
      <c r="O388" s="3" t="str">
        <f t="shared" si="3"/>
        <v>COMPLIANT</v>
      </c>
    </row>
    <row r="389">
      <c r="A389" s="1">
        <v>388.0</v>
      </c>
      <c r="B389" s="1" t="s">
        <v>921</v>
      </c>
      <c r="C389" s="1" t="s">
        <v>16</v>
      </c>
      <c r="D389" s="1" t="s">
        <v>83</v>
      </c>
      <c r="E389" s="1" t="s">
        <v>83</v>
      </c>
      <c r="F389" s="1" t="s">
        <v>922</v>
      </c>
      <c r="G389" s="1" t="b">
        <v>0</v>
      </c>
      <c r="H389" s="1" t="s">
        <v>44</v>
      </c>
      <c r="I389" s="1" t="s">
        <v>17</v>
      </c>
      <c r="J389" s="1" t="b">
        <v>1</v>
      </c>
      <c r="K389" s="2">
        <v>45448.0</v>
      </c>
      <c r="L389" s="1" t="s">
        <v>31</v>
      </c>
      <c r="M389" s="3" t="str">
        <f t="shared" si="1"/>
        <v>✅ OK</v>
      </c>
      <c r="N389" s="3" t="str">
        <f t="shared" si="2"/>
        <v>OK</v>
      </c>
      <c r="O389" s="3" t="str">
        <f t="shared" si="3"/>
        <v>COMPLIANT</v>
      </c>
    </row>
    <row r="390">
      <c r="A390" s="1">
        <v>389.0</v>
      </c>
      <c r="B390" s="1" t="s">
        <v>923</v>
      </c>
      <c r="C390" s="1" t="s">
        <v>57</v>
      </c>
      <c r="D390" s="1" t="s">
        <v>79</v>
      </c>
      <c r="E390" s="1" t="s">
        <v>79</v>
      </c>
      <c r="F390" s="1" t="s">
        <v>924</v>
      </c>
      <c r="G390" s="1" t="b">
        <v>1</v>
      </c>
      <c r="I390" s="1" t="s">
        <v>17</v>
      </c>
      <c r="J390" s="1" t="b">
        <v>1</v>
      </c>
      <c r="K390" s="2">
        <v>45992.0</v>
      </c>
      <c r="L390" s="1" t="s">
        <v>20</v>
      </c>
      <c r="M390" s="3" t="str">
        <f t="shared" si="1"/>
        <v>✅ OK</v>
      </c>
      <c r="N390" s="3" t="str">
        <f t="shared" si="2"/>
        <v>OK</v>
      </c>
      <c r="O390" s="3" t="str">
        <f t="shared" si="3"/>
        <v>COMPLIANT</v>
      </c>
    </row>
    <row r="391">
      <c r="A391" s="1">
        <v>390.0</v>
      </c>
      <c r="B391" s="1" t="s">
        <v>374</v>
      </c>
      <c r="C391" s="1" t="s">
        <v>26</v>
      </c>
      <c r="D391" s="1" t="s">
        <v>925</v>
      </c>
      <c r="E391" s="1" t="s">
        <v>925</v>
      </c>
      <c r="F391" s="1" t="s">
        <v>926</v>
      </c>
      <c r="G391" s="1" t="b">
        <v>0</v>
      </c>
      <c r="H391" s="1" t="s">
        <v>44</v>
      </c>
      <c r="I391" s="1" t="s">
        <v>17</v>
      </c>
      <c r="J391" s="1" t="b">
        <v>1</v>
      </c>
      <c r="K391" s="2">
        <v>44996.0</v>
      </c>
      <c r="L391" s="1" t="s">
        <v>20</v>
      </c>
      <c r="M391" s="3" t="str">
        <f t="shared" si="1"/>
        <v>✅ OK</v>
      </c>
      <c r="N391" s="3" t="str">
        <f t="shared" si="2"/>
        <v>OK</v>
      </c>
      <c r="O391" s="3" t="str">
        <f t="shared" si="3"/>
        <v>COMPLIANT</v>
      </c>
    </row>
    <row r="392">
      <c r="A392" s="1">
        <v>391.0</v>
      </c>
      <c r="B392" s="1" t="s">
        <v>307</v>
      </c>
      <c r="C392" s="1" t="s">
        <v>47</v>
      </c>
      <c r="D392" s="1" t="s">
        <v>66</v>
      </c>
      <c r="E392" s="1" t="s">
        <v>66</v>
      </c>
      <c r="F392" s="1" t="s">
        <v>927</v>
      </c>
      <c r="G392" s="1" t="b">
        <v>0</v>
      </c>
      <c r="H392" s="1" t="s">
        <v>29</v>
      </c>
      <c r="I392" s="1" t="s">
        <v>24</v>
      </c>
      <c r="J392" s="1" t="b">
        <v>1</v>
      </c>
      <c r="K392" s="2">
        <v>44989.0</v>
      </c>
      <c r="L392" s="1" t="s">
        <v>20</v>
      </c>
      <c r="M392" s="3" t="str">
        <f t="shared" si="1"/>
        <v>✅ OK</v>
      </c>
      <c r="N392" s="3" t="str">
        <f t="shared" si="2"/>
        <v>OK</v>
      </c>
      <c r="O392" s="3" t="str">
        <f t="shared" si="3"/>
        <v>COMPLIANT</v>
      </c>
    </row>
    <row r="393">
      <c r="A393" s="1">
        <v>392.0</v>
      </c>
      <c r="B393" s="1" t="s">
        <v>590</v>
      </c>
      <c r="C393" s="1" t="s">
        <v>57</v>
      </c>
      <c r="D393" s="1" t="s">
        <v>17</v>
      </c>
      <c r="E393" s="1" t="s">
        <v>17</v>
      </c>
      <c r="F393" s="1" t="s">
        <v>928</v>
      </c>
      <c r="G393" s="1" t="b">
        <v>0</v>
      </c>
      <c r="H393" s="1" t="s">
        <v>44</v>
      </c>
      <c r="I393" s="1" t="s">
        <v>17</v>
      </c>
      <c r="J393" s="1" t="b">
        <v>1</v>
      </c>
      <c r="K393" s="1" t="s">
        <v>929</v>
      </c>
      <c r="L393" s="1" t="s">
        <v>20</v>
      </c>
      <c r="M393" s="3" t="str">
        <f t="shared" si="1"/>
        <v>✅ OK</v>
      </c>
      <c r="N393" s="3" t="str">
        <f t="shared" si="2"/>
        <v>OK</v>
      </c>
      <c r="O393" s="3" t="str">
        <f t="shared" si="3"/>
        <v>COMPLIANT</v>
      </c>
    </row>
    <row r="394">
      <c r="A394" s="1">
        <v>393.0</v>
      </c>
      <c r="B394" s="1" t="s">
        <v>393</v>
      </c>
      <c r="C394" s="1" t="s">
        <v>47</v>
      </c>
      <c r="D394" s="1" t="s">
        <v>173</v>
      </c>
      <c r="E394" s="1" t="s">
        <v>173</v>
      </c>
      <c r="F394" s="1" t="s">
        <v>930</v>
      </c>
      <c r="G394" s="1" t="b">
        <v>0</v>
      </c>
      <c r="H394" s="1" t="s">
        <v>44</v>
      </c>
      <c r="I394" s="1" t="s">
        <v>24</v>
      </c>
      <c r="J394" s="1" t="b">
        <v>1</v>
      </c>
      <c r="K394" s="1" t="s">
        <v>149</v>
      </c>
      <c r="L394" s="1" t="s">
        <v>31</v>
      </c>
      <c r="M394" s="3" t="str">
        <f t="shared" si="1"/>
        <v>✅ OK</v>
      </c>
      <c r="N394" s="3" t="str">
        <f t="shared" si="2"/>
        <v>OK</v>
      </c>
      <c r="O394" s="3" t="str">
        <f t="shared" si="3"/>
        <v>COMPLIANT</v>
      </c>
    </row>
    <row r="395">
      <c r="A395" s="1">
        <v>394.0</v>
      </c>
      <c r="B395" s="1" t="s">
        <v>931</v>
      </c>
      <c r="C395" s="1" t="s">
        <v>57</v>
      </c>
      <c r="D395" s="1" t="s">
        <v>33</v>
      </c>
      <c r="E395" s="1" t="s">
        <v>33</v>
      </c>
      <c r="F395" s="1" t="s">
        <v>932</v>
      </c>
      <c r="G395" s="1" t="b">
        <v>1</v>
      </c>
      <c r="H395" s="1" t="s">
        <v>29</v>
      </c>
      <c r="I395" s="1" t="s">
        <v>17</v>
      </c>
      <c r="J395" s="1" t="b">
        <v>1</v>
      </c>
      <c r="K395" s="1" t="s">
        <v>933</v>
      </c>
      <c r="L395" s="1" t="s">
        <v>20</v>
      </c>
      <c r="M395" s="3" t="str">
        <f t="shared" si="1"/>
        <v>✅ OK</v>
      </c>
      <c r="N395" s="3" t="str">
        <f t="shared" si="2"/>
        <v>OK</v>
      </c>
      <c r="O395" s="3" t="str">
        <f t="shared" si="3"/>
        <v>COMPLIANT</v>
      </c>
    </row>
    <row r="396">
      <c r="A396" s="1">
        <v>395.0</v>
      </c>
      <c r="B396" s="1" t="s">
        <v>934</v>
      </c>
      <c r="C396" s="1" t="s">
        <v>41</v>
      </c>
      <c r="D396" s="1" t="s">
        <v>151</v>
      </c>
      <c r="E396" s="1" t="s">
        <v>151</v>
      </c>
      <c r="F396" s="1" t="s">
        <v>935</v>
      </c>
      <c r="G396" s="1" t="b">
        <v>0</v>
      </c>
      <c r="H396" s="1" t="s">
        <v>29</v>
      </c>
      <c r="I396" s="1" t="s">
        <v>35</v>
      </c>
      <c r="J396" s="1" t="b">
        <v>0</v>
      </c>
      <c r="K396" s="2">
        <v>45023.0</v>
      </c>
      <c r="L396" s="1" t="s">
        <v>20</v>
      </c>
      <c r="M396" s="3" t="str">
        <f t="shared" si="1"/>
        <v>✅ OK</v>
      </c>
      <c r="N396" s="3" t="str">
        <f t="shared" si="2"/>
        <v>OK</v>
      </c>
      <c r="O396" s="3" t="str">
        <f t="shared" si="3"/>
        <v>COMPLIANT</v>
      </c>
    </row>
    <row r="397">
      <c r="A397" s="1">
        <v>396.0</v>
      </c>
      <c r="B397" s="1" t="s">
        <v>936</v>
      </c>
      <c r="C397" s="1" t="s">
        <v>26</v>
      </c>
      <c r="D397" s="1" t="s">
        <v>79</v>
      </c>
      <c r="E397" s="1" t="s">
        <v>79</v>
      </c>
      <c r="F397" s="1" t="s">
        <v>937</v>
      </c>
      <c r="G397" s="1" t="b">
        <v>1</v>
      </c>
      <c r="I397" s="1" t="s">
        <v>17</v>
      </c>
      <c r="J397" s="1" t="b">
        <v>1</v>
      </c>
      <c r="K397" s="2">
        <v>45080.0</v>
      </c>
      <c r="L397" s="1" t="s">
        <v>31</v>
      </c>
      <c r="M397" s="3" t="str">
        <f t="shared" si="1"/>
        <v>✅ OK</v>
      </c>
      <c r="N397" s="3" t="str">
        <f t="shared" si="2"/>
        <v>OK</v>
      </c>
      <c r="O397" s="3" t="str">
        <f t="shared" si="3"/>
        <v>COMPLIANT</v>
      </c>
    </row>
    <row r="398">
      <c r="A398" s="1">
        <v>397.0</v>
      </c>
      <c r="B398" s="1" t="s">
        <v>143</v>
      </c>
      <c r="C398" s="1" t="s">
        <v>16</v>
      </c>
      <c r="D398" s="1" t="s">
        <v>66</v>
      </c>
      <c r="E398" s="1" t="s">
        <v>66</v>
      </c>
      <c r="F398" s="1" t="s">
        <v>938</v>
      </c>
      <c r="G398" s="1" t="b">
        <v>0</v>
      </c>
      <c r="H398" s="1" t="s">
        <v>29</v>
      </c>
      <c r="I398" s="1" t="s">
        <v>24</v>
      </c>
      <c r="J398" s="1" t="b">
        <v>1</v>
      </c>
      <c r="K398" s="1" t="s">
        <v>939</v>
      </c>
      <c r="L398" s="1" t="s">
        <v>20</v>
      </c>
      <c r="M398" s="3" t="str">
        <f t="shared" si="1"/>
        <v>✅ OK</v>
      </c>
      <c r="N398" s="3" t="str">
        <f t="shared" si="2"/>
        <v>OK</v>
      </c>
      <c r="O398" s="3" t="str">
        <f t="shared" si="3"/>
        <v>COMPLIANT</v>
      </c>
    </row>
    <row r="399">
      <c r="A399" s="1">
        <v>398.0</v>
      </c>
      <c r="B399" s="1" t="s">
        <v>940</v>
      </c>
      <c r="C399" s="1" t="s">
        <v>41</v>
      </c>
      <c r="D399" s="1" t="s">
        <v>58</v>
      </c>
      <c r="E399" s="1" t="s">
        <v>58</v>
      </c>
      <c r="F399" s="1" t="s">
        <v>941</v>
      </c>
      <c r="G399" s="1" t="b">
        <v>0</v>
      </c>
      <c r="H399" s="1" t="s">
        <v>44</v>
      </c>
      <c r="I399" s="1" t="s">
        <v>35</v>
      </c>
      <c r="J399" s="1" t="b">
        <v>0</v>
      </c>
      <c r="K399" s="1" t="s">
        <v>942</v>
      </c>
      <c r="L399" s="1" t="s">
        <v>31</v>
      </c>
      <c r="M399" s="3" t="str">
        <f t="shared" si="1"/>
        <v>✅ OK</v>
      </c>
      <c r="N399" s="3" t="str">
        <f t="shared" si="2"/>
        <v>OK</v>
      </c>
      <c r="O399" s="3" t="str">
        <f t="shared" si="3"/>
        <v>COMPLIANT</v>
      </c>
    </row>
    <row r="400">
      <c r="A400" s="1">
        <v>399.0</v>
      </c>
      <c r="B400" s="1" t="s">
        <v>107</v>
      </c>
      <c r="C400" s="1" t="s">
        <v>16</v>
      </c>
      <c r="D400" s="1" t="s">
        <v>197</v>
      </c>
      <c r="E400" s="1" t="s">
        <v>197</v>
      </c>
      <c r="F400" s="1" t="s">
        <v>943</v>
      </c>
      <c r="G400" s="1" t="b">
        <v>1</v>
      </c>
      <c r="H400" s="1" t="s">
        <v>44</v>
      </c>
      <c r="I400" s="1" t="s">
        <v>24</v>
      </c>
      <c r="J400" s="1" t="b">
        <v>0</v>
      </c>
      <c r="K400" s="2">
        <v>45569.0</v>
      </c>
      <c r="L400" s="1" t="s">
        <v>31</v>
      </c>
      <c r="M400" s="3" t="str">
        <f t="shared" si="1"/>
        <v>✅ OK</v>
      </c>
      <c r="N400" s="3" t="str">
        <f t="shared" si="2"/>
        <v>OK</v>
      </c>
      <c r="O400" s="3" t="str">
        <f t="shared" si="3"/>
        <v>COMPLIANT</v>
      </c>
    </row>
    <row r="401">
      <c r="A401" s="1">
        <v>400.0</v>
      </c>
      <c r="B401" s="1" t="s">
        <v>944</v>
      </c>
      <c r="C401" s="1" t="s">
        <v>57</v>
      </c>
      <c r="D401" s="1" t="s">
        <v>280</v>
      </c>
      <c r="E401" s="1" t="s">
        <v>280</v>
      </c>
      <c r="F401" s="1" t="s">
        <v>945</v>
      </c>
      <c r="G401" s="1" t="b">
        <v>0</v>
      </c>
      <c r="H401" s="1" t="s">
        <v>44</v>
      </c>
      <c r="I401" s="1" t="s">
        <v>24</v>
      </c>
      <c r="J401" s="1" t="b">
        <v>1</v>
      </c>
      <c r="K401" s="1" t="s">
        <v>946</v>
      </c>
      <c r="L401" s="1" t="s">
        <v>31</v>
      </c>
      <c r="M401" s="3" t="str">
        <f t="shared" si="1"/>
        <v>✅ OK</v>
      </c>
      <c r="N401" s="3" t="str">
        <f t="shared" si="2"/>
        <v>OK</v>
      </c>
      <c r="O401" s="3" t="str">
        <f t="shared" si="3"/>
        <v>COMPLIANT</v>
      </c>
    </row>
    <row r="402">
      <c r="A402" s="1">
        <v>401.0</v>
      </c>
      <c r="B402" s="1" t="s">
        <v>795</v>
      </c>
      <c r="C402" s="1" t="s">
        <v>16</v>
      </c>
      <c r="D402" s="1" t="s">
        <v>17</v>
      </c>
      <c r="E402" s="1" t="s">
        <v>17</v>
      </c>
      <c r="F402" s="1" t="s">
        <v>947</v>
      </c>
      <c r="G402" s="1" t="b">
        <v>0</v>
      </c>
      <c r="H402" s="1" t="s">
        <v>44</v>
      </c>
      <c r="I402" s="1" t="s">
        <v>24</v>
      </c>
      <c r="J402" s="1" t="b">
        <v>1</v>
      </c>
      <c r="K402" s="1" t="s">
        <v>948</v>
      </c>
      <c r="L402" s="1" t="s">
        <v>20</v>
      </c>
      <c r="M402" s="3" t="str">
        <f t="shared" si="1"/>
        <v>✅ OK</v>
      </c>
      <c r="N402" s="3" t="str">
        <f t="shared" si="2"/>
        <v>OK</v>
      </c>
      <c r="O402" s="3" t="str">
        <f t="shared" si="3"/>
        <v>COMPLIANT</v>
      </c>
    </row>
    <row r="403">
      <c r="A403" s="1">
        <v>402.0</v>
      </c>
      <c r="B403" s="1" t="s">
        <v>949</v>
      </c>
      <c r="C403" s="1" t="s">
        <v>16</v>
      </c>
      <c r="D403" s="1" t="s">
        <v>33</v>
      </c>
      <c r="E403" s="1" t="s">
        <v>33</v>
      </c>
      <c r="F403" s="1" t="s">
        <v>950</v>
      </c>
      <c r="G403" s="1" t="b">
        <v>0</v>
      </c>
      <c r="H403" s="1" t="s">
        <v>29</v>
      </c>
      <c r="I403" s="1" t="s">
        <v>17</v>
      </c>
      <c r="J403" s="1" t="b">
        <v>0</v>
      </c>
      <c r="K403" s="2">
        <v>45875.0</v>
      </c>
      <c r="L403" s="1" t="s">
        <v>31</v>
      </c>
      <c r="M403" s="3" t="str">
        <f t="shared" si="1"/>
        <v>✅ OK</v>
      </c>
      <c r="N403" s="3" t="str">
        <f t="shared" si="2"/>
        <v>OK</v>
      </c>
      <c r="O403" s="3" t="str">
        <f t="shared" si="3"/>
        <v>COMPLIANT</v>
      </c>
    </row>
    <row r="404">
      <c r="A404" s="1">
        <v>403.0</v>
      </c>
      <c r="B404" s="1" t="s">
        <v>453</v>
      </c>
      <c r="C404" s="1" t="s">
        <v>47</v>
      </c>
      <c r="D404" s="1" t="s">
        <v>951</v>
      </c>
      <c r="E404" s="1" t="s">
        <v>951</v>
      </c>
      <c r="F404" s="1" t="s">
        <v>952</v>
      </c>
      <c r="G404" s="1" t="b">
        <v>0</v>
      </c>
      <c r="H404" s="1" t="s">
        <v>29</v>
      </c>
      <c r="I404" s="1" t="s">
        <v>24</v>
      </c>
      <c r="J404" s="1" t="b">
        <v>0</v>
      </c>
      <c r="K404" s="1" t="s">
        <v>953</v>
      </c>
      <c r="L404" s="1" t="s">
        <v>31</v>
      </c>
      <c r="M404" s="3" t="str">
        <f t="shared" si="1"/>
        <v>✅ OK</v>
      </c>
      <c r="N404" s="3" t="str">
        <f t="shared" si="2"/>
        <v>OK</v>
      </c>
      <c r="O404" s="3" t="str">
        <f t="shared" si="3"/>
        <v>COMPLIANT</v>
      </c>
    </row>
    <row r="405">
      <c r="A405" s="1">
        <v>404.0</v>
      </c>
      <c r="B405" s="1" t="s">
        <v>571</v>
      </c>
      <c r="C405" s="1" t="s">
        <v>26</v>
      </c>
      <c r="D405" s="1" t="s">
        <v>144</v>
      </c>
      <c r="E405" s="1" t="s">
        <v>144</v>
      </c>
      <c r="F405" s="1" t="s">
        <v>954</v>
      </c>
      <c r="G405" s="1" t="b">
        <v>1</v>
      </c>
      <c r="H405" s="1" t="s">
        <v>44</v>
      </c>
      <c r="I405" s="1" t="s">
        <v>24</v>
      </c>
      <c r="J405" s="1" t="b">
        <v>0</v>
      </c>
      <c r="K405" s="2">
        <v>45661.0</v>
      </c>
      <c r="L405" s="1" t="s">
        <v>20</v>
      </c>
      <c r="M405" s="3" t="str">
        <f t="shared" si="1"/>
        <v>✅ OK</v>
      </c>
      <c r="N405" s="3" t="str">
        <f t="shared" si="2"/>
        <v>OK</v>
      </c>
      <c r="O405" s="3" t="str">
        <f t="shared" si="3"/>
        <v>COMPLIANT</v>
      </c>
    </row>
    <row r="406">
      <c r="A406" s="1">
        <v>405.0</v>
      </c>
      <c r="B406" s="1" t="s">
        <v>853</v>
      </c>
      <c r="C406" s="1" t="s">
        <v>26</v>
      </c>
      <c r="D406" s="1" t="s">
        <v>69</v>
      </c>
      <c r="E406" s="1" t="s">
        <v>69</v>
      </c>
      <c r="F406" s="1" t="s">
        <v>955</v>
      </c>
      <c r="G406" s="1" t="b">
        <v>1</v>
      </c>
      <c r="H406" s="1" t="s">
        <v>29</v>
      </c>
      <c r="I406" s="1" t="s">
        <v>35</v>
      </c>
      <c r="J406" s="1" t="b">
        <v>0</v>
      </c>
      <c r="K406" s="1" t="s">
        <v>956</v>
      </c>
      <c r="L406" s="1" t="s">
        <v>20</v>
      </c>
      <c r="M406" s="3" t="str">
        <f t="shared" si="1"/>
        <v>✅ OK</v>
      </c>
      <c r="N406" s="3" t="str">
        <f t="shared" si="2"/>
        <v>OK</v>
      </c>
      <c r="O406" s="3" t="str">
        <f t="shared" si="3"/>
        <v>COMPLIANT</v>
      </c>
    </row>
    <row r="407">
      <c r="A407" s="1">
        <v>406.0</v>
      </c>
      <c r="B407" s="1" t="s">
        <v>957</v>
      </c>
      <c r="C407" s="1" t="s">
        <v>57</v>
      </c>
      <c r="D407" s="1" t="s">
        <v>37</v>
      </c>
      <c r="E407" s="1" t="s">
        <v>37</v>
      </c>
      <c r="F407" s="1" t="s">
        <v>958</v>
      </c>
      <c r="G407" s="1" t="b">
        <v>1</v>
      </c>
      <c r="H407" s="1" t="s">
        <v>29</v>
      </c>
      <c r="I407" s="1" t="s">
        <v>17</v>
      </c>
      <c r="J407" s="1" t="b">
        <v>1</v>
      </c>
      <c r="K407" s="1" t="s">
        <v>383</v>
      </c>
      <c r="L407" s="1" t="s">
        <v>20</v>
      </c>
      <c r="M407" s="3" t="str">
        <f t="shared" si="1"/>
        <v>✅ OK</v>
      </c>
      <c r="N407" s="3" t="str">
        <f t="shared" si="2"/>
        <v>OK</v>
      </c>
      <c r="O407" s="3" t="str">
        <f t="shared" si="3"/>
        <v>COMPLIANT</v>
      </c>
    </row>
    <row r="408">
      <c r="A408" s="1">
        <v>407.0</v>
      </c>
      <c r="B408" s="1" t="s">
        <v>21</v>
      </c>
      <c r="C408" s="1" t="s">
        <v>26</v>
      </c>
      <c r="D408" s="1" t="s">
        <v>79</v>
      </c>
      <c r="E408" s="1" t="s">
        <v>79</v>
      </c>
      <c r="F408" s="1" t="s">
        <v>959</v>
      </c>
      <c r="G408" s="1" t="b">
        <v>0</v>
      </c>
      <c r="H408" s="1" t="s">
        <v>29</v>
      </c>
      <c r="I408" s="1" t="s">
        <v>35</v>
      </c>
      <c r="J408" s="1" t="b">
        <v>1</v>
      </c>
      <c r="K408" s="1" t="s">
        <v>960</v>
      </c>
      <c r="L408" s="1" t="s">
        <v>20</v>
      </c>
      <c r="M408" s="3" t="str">
        <f t="shared" si="1"/>
        <v>✅ OK</v>
      </c>
      <c r="N408" s="3" t="str">
        <f t="shared" si="2"/>
        <v>OK</v>
      </c>
      <c r="O408" s="3" t="str">
        <f t="shared" si="3"/>
        <v>COMPLIANT</v>
      </c>
    </row>
    <row r="409">
      <c r="A409" s="1">
        <v>408.0</v>
      </c>
      <c r="B409" s="1" t="s">
        <v>563</v>
      </c>
      <c r="C409" s="1" t="s">
        <v>57</v>
      </c>
      <c r="D409" s="1" t="s">
        <v>776</v>
      </c>
      <c r="E409" s="1" t="s">
        <v>776</v>
      </c>
      <c r="F409" s="1" t="s">
        <v>961</v>
      </c>
      <c r="G409" s="1" t="b">
        <v>1</v>
      </c>
      <c r="H409" s="1" t="s">
        <v>29</v>
      </c>
      <c r="I409" s="1" t="s">
        <v>24</v>
      </c>
      <c r="J409" s="1" t="b">
        <v>1</v>
      </c>
      <c r="K409" s="1" t="s">
        <v>912</v>
      </c>
      <c r="L409" s="1" t="s">
        <v>31</v>
      </c>
      <c r="M409" s="3" t="str">
        <f t="shared" si="1"/>
        <v>✅ OK</v>
      </c>
      <c r="N409" s="3" t="str">
        <f t="shared" si="2"/>
        <v>OK</v>
      </c>
      <c r="O409" s="3" t="str">
        <f t="shared" si="3"/>
        <v>COMPLIANT</v>
      </c>
    </row>
    <row r="410">
      <c r="A410" s="1">
        <v>409.0</v>
      </c>
      <c r="B410" s="1" t="s">
        <v>962</v>
      </c>
      <c r="C410" s="1" t="s">
        <v>57</v>
      </c>
      <c r="D410" s="1" t="s">
        <v>963</v>
      </c>
      <c r="E410" s="1" t="s">
        <v>963</v>
      </c>
      <c r="F410" s="1" t="s">
        <v>964</v>
      </c>
      <c r="G410" s="1" t="b">
        <v>1</v>
      </c>
      <c r="H410" s="1" t="s">
        <v>29</v>
      </c>
      <c r="I410" s="1" t="s">
        <v>35</v>
      </c>
      <c r="J410" s="1" t="b">
        <v>0</v>
      </c>
      <c r="K410" s="1" t="s">
        <v>965</v>
      </c>
      <c r="L410" s="1" t="s">
        <v>31</v>
      </c>
      <c r="M410" s="3" t="str">
        <f t="shared" si="1"/>
        <v>✅ OK</v>
      </c>
      <c r="N410" s="3" t="str">
        <f t="shared" si="2"/>
        <v>OK</v>
      </c>
      <c r="O410" s="3" t="str">
        <f t="shared" si="3"/>
        <v>COMPLIANT</v>
      </c>
    </row>
    <row r="411">
      <c r="A411" s="1">
        <v>410.0</v>
      </c>
      <c r="B411" s="1" t="s">
        <v>262</v>
      </c>
      <c r="C411" s="1" t="s">
        <v>16</v>
      </c>
      <c r="D411" s="1" t="s">
        <v>348</v>
      </c>
      <c r="E411" s="1" t="s">
        <v>348</v>
      </c>
      <c r="F411" s="1" t="s">
        <v>966</v>
      </c>
      <c r="G411" s="1" t="b">
        <v>1</v>
      </c>
      <c r="H411" s="1" t="s">
        <v>29</v>
      </c>
      <c r="I411" s="1" t="s">
        <v>24</v>
      </c>
      <c r="J411" s="1" t="b">
        <v>0</v>
      </c>
      <c r="K411" s="1" t="s">
        <v>967</v>
      </c>
      <c r="L411" s="1" t="s">
        <v>20</v>
      </c>
      <c r="M411" s="3" t="str">
        <f t="shared" si="1"/>
        <v>✅ OK</v>
      </c>
      <c r="N411" s="3" t="str">
        <f t="shared" si="2"/>
        <v>OK</v>
      </c>
      <c r="O411" s="3" t="str">
        <f t="shared" si="3"/>
        <v>COMPLIANT</v>
      </c>
    </row>
    <row r="412">
      <c r="A412" s="1">
        <v>411.0</v>
      </c>
      <c r="B412" s="1" t="s">
        <v>909</v>
      </c>
      <c r="C412" s="1" t="s">
        <v>26</v>
      </c>
      <c r="D412" s="1" t="s">
        <v>33</v>
      </c>
      <c r="E412" s="1" t="s">
        <v>33</v>
      </c>
      <c r="F412" s="1" t="s">
        <v>968</v>
      </c>
      <c r="G412" s="1" t="b">
        <v>0</v>
      </c>
      <c r="H412" s="1" t="s">
        <v>44</v>
      </c>
      <c r="I412" s="1" t="s">
        <v>24</v>
      </c>
      <c r="J412" s="1" t="b">
        <v>1</v>
      </c>
      <c r="K412" s="2">
        <v>45300.0</v>
      </c>
      <c r="L412" s="1" t="s">
        <v>20</v>
      </c>
      <c r="M412" s="3" t="str">
        <f t="shared" si="1"/>
        <v>✅ OK</v>
      </c>
      <c r="N412" s="3" t="str">
        <f t="shared" si="2"/>
        <v>OK</v>
      </c>
      <c r="O412" s="3" t="str">
        <f t="shared" si="3"/>
        <v>COMPLIANT</v>
      </c>
    </row>
    <row r="413">
      <c r="A413" s="1">
        <v>412.0</v>
      </c>
      <c r="B413" s="1" t="s">
        <v>969</v>
      </c>
      <c r="C413" s="1" t="s">
        <v>47</v>
      </c>
      <c r="D413" s="1" t="s">
        <v>144</v>
      </c>
      <c r="E413" s="1" t="s">
        <v>144</v>
      </c>
      <c r="F413" s="1" t="s">
        <v>970</v>
      </c>
      <c r="G413" s="1" t="b">
        <v>0</v>
      </c>
      <c r="H413" s="1" t="s">
        <v>29</v>
      </c>
      <c r="I413" s="1" t="s">
        <v>17</v>
      </c>
      <c r="J413" s="1" t="b">
        <v>1</v>
      </c>
      <c r="K413" s="1" t="s">
        <v>253</v>
      </c>
      <c r="L413" s="1" t="s">
        <v>20</v>
      </c>
      <c r="M413" s="3" t="str">
        <f t="shared" si="1"/>
        <v>✅ OK</v>
      </c>
      <c r="N413" s="3" t="str">
        <f t="shared" si="2"/>
        <v>OK</v>
      </c>
      <c r="O413" s="3" t="str">
        <f t="shared" si="3"/>
        <v>COMPLIANT</v>
      </c>
    </row>
    <row r="414">
      <c r="A414" s="1">
        <v>413.0</v>
      </c>
      <c r="B414" s="1" t="s">
        <v>430</v>
      </c>
      <c r="C414" s="1" t="s">
        <v>47</v>
      </c>
      <c r="D414" s="1" t="s">
        <v>37</v>
      </c>
      <c r="E414" s="1" t="s">
        <v>37</v>
      </c>
      <c r="F414" s="1" t="s">
        <v>971</v>
      </c>
      <c r="G414" s="1" t="b">
        <v>1</v>
      </c>
      <c r="I414" s="1" t="s">
        <v>35</v>
      </c>
      <c r="J414" s="1" t="b">
        <v>1</v>
      </c>
      <c r="K414" s="1" t="s">
        <v>972</v>
      </c>
      <c r="L414" s="1" t="s">
        <v>20</v>
      </c>
      <c r="M414" s="3" t="str">
        <f t="shared" si="1"/>
        <v>✅ OK</v>
      </c>
      <c r="N414" s="3" t="str">
        <f t="shared" si="2"/>
        <v>OK</v>
      </c>
      <c r="O414" s="3" t="str">
        <f t="shared" si="3"/>
        <v>COMPLIANT</v>
      </c>
    </row>
    <row r="415">
      <c r="A415" s="1">
        <v>414.0</v>
      </c>
      <c r="B415" s="1" t="s">
        <v>973</v>
      </c>
      <c r="C415" s="1" t="s">
        <v>16</v>
      </c>
      <c r="D415" s="1" t="s">
        <v>79</v>
      </c>
      <c r="E415" s="1" t="s">
        <v>79</v>
      </c>
      <c r="F415" s="1" t="s">
        <v>974</v>
      </c>
      <c r="G415" s="1" t="b">
        <v>1</v>
      </c>
      <c r="H415" s="1" t="s">
        <v>44</v>
      </c>
      <c r="I415" s="1" t="s">
        <v>35</v>
      </c>
      <c r="J415" s="1" t="b">
        <v>1</v>
      </c>
      <c r="K415" s="2">
        <v>45385.0</v>
      </c>
      <c r="L415" s="1" t="s">
        <v>20</v>
      </c>
      <c r="M415" s="3" t="str">
        <f t="shared" si="1"/>
        <v>✅ OK</v>
      </c>
      <c r="N415" s="3" t="str">
        <f t="shared" si="2"/>
        <v>OK</v>
      </c>
      <c r="O415" s="3" t="str">
        <f t="shared" si="3"/>
        <v>COMPLIANT</v>
      </c>
    </row>
    <row r="416">
      <c r="A416" s="1">
        <v>415.0</v>
      </c>
      <c r="B416" s="1" t="s">
        <v>975</v>
      </c>
      <c r="C416" s="1" t="s">
        <v>41</v>
      </c>
      <c r="D416" s="1" t="s">
        <v>348</v>
      </c>
      <c r="E416" s="1" t="s">
        <v>348</v>
      </c>
      <c r="F416" s="1" t="s">
        <v>976</v>
      </c>
      <c r="G416" s="1" t="b">
        <v>0</v>
      </c>
      <c r="H416" s="1" t="s">
        <v>29</v>
      </c>
      <c r="I416" s="1" t="s">
        <v>35</v>
      </c>
      <c r="J416" s="1" t="b">
        <v>0</v>
      </c>
      <c r="K416" s="2">
        <v>45876.0</v>
      </c>
      <c r="L416" s="1" t="s">
        <v>20</v>
      </c>
      <c r="M416" s="3" t="str">
        <f t="shared" si="1"/>
        <v>✅ OK</v>
      </c>
      <c r="N416" s="3" t="str">
        <f t="shared" si="2"/>
        <v>OK</v>
      </c>
      <c r="O416" s="3" t="str">
        <f t="shared" si="3"/>
        <v>COMPLIANT</v>
      </c>
    </row>
    <row r="417">
      <c r="A417" s="1">
        <v>416.0</v>
      </c>
      <c r="B417" s="1" t="s">
        <v>93</v>
      </c>
      <c r="C417" s="1" t="s">
        <v>16</v>
      </c>
      <c r="D417" s="1" t="s">
        <v>79</v>
      </c>
      <c r="E417" s="1" t="s">
        <v>79</v>
      </c>
      <c r="F417" s="1" t="s">
        <v>977</v>
      </c>
      <c r="G417" s="1" t="b">
        <v>1</v>
      </c>
      <c r="H417" s="1" t="s">
        <v>44</v>
      </c>
      <c r="I417" s="1" t="s">
        <v>35</v>
      </c>
      <c r="J417" s="1" t="b">
        <v>1</v>
      </c>
      <c r="K417" s="1" t="s">
        <v>978</v>
      </c>
      <c r="L417" s="1" t="s">
        <v>20</v>
      </c>
      <c r="M417" s="3" t="str">
        <f t="shared" si="1"/>
        <v>✅ OK</v>
      </c>
      <c r="N417" s="3" t="str">
        <f t="shared" si="2"/>
        <v>OK</v>
      </c>
      <c r="O417" s="3" t="str">
        <f t="shared" si="3"/>
        <v>COMPLIANT</v>
      </c>
    </row>
    <row r="418">
      <c r="A418" s="1">
        <v>417.0</v>
      </c>
      <c r="B418" s="1" t="s">
        <v>979</v>
      </c>
      <c r="C418" s="1" t="s">
        <v>26</v>
      </c>
      <c r="D418" s="1" t="s">
        <v>280</v>
      </c>
      <c r="E418" s="1" t="s">
        <v>280</v>
      </c>
      <c r="F418" s="1" t="s">
        <v>980</v>
      </c>
      <c r="G418" s="1" t="b">
        <v>1</v>
      </c>
      <c r="H418" s="1" t="s">
        <v>44</v>
      </c>
      <c r="I418" s="1" t="s">
        <v>17</v>
      </c>
      <c r="J418" s="1" t="b">
        <v>1</v>
      </c>
      <c r="K418" s="1" t="s">
        <v>981</v>
      </c>
      <c r="L418" s="1" t="s">
        <v>20</v>
      </c>
      <c r="M418" s="3" t="str">
        <f t="shared" si="1"/>
        <v>✅ OK</v>
      </c>
      <c r="N418" s="3" t="str">
        <f t="shared" si="2"/>
        <v>OK</v>
      </c>
      <c r="O418" s="3" t="str">
        <f t="shared" si="3"/>
        <v>COMPLIANT</v>
      </c>
    </row>
    <row r="419">
      <c r="A419" s="1">
        <v>418.0</v>
      </c>
      <c r="B419" s="1" t="s">
        <v>982</v>
      </c>
      <c r="C419" s="1" t="s">
        <v>57</v>
      </c>
      <c r="D419" s="1" t="s">
        <v>66</v>
      </c>
      <c r="E419" s="1" t="s">
        <v>66</v>
      </c>
      <c r="F419" s="1" t="s">
        <v>983</v>
      </c>
      <c r="G419" s="1" t="b">
        <v>1</v>
      </c>
      <c r="H419" s="1" t="s">
        <v>29</v>
      </c>
      <c r="I419" s="1" t="s">
        <v>17</v>
      </c>
      <c r="J419" s="1" t="b">
        <v>0</v>
      </c>
      <c r="K419" s="1" t="s">
        <v>984</v>
      </c>
      <c r="L419" s="1" t="s">
        <v>31</v>
      </c>
      <c r="M419" s="3" t="str">
        <f t="shared" si="1"/>
        <v>✅ OK</v>
      </c>
      <c r="N419" s="3" t="str">
        <f t="shared" si="2"/>
        <v>OK</v>
      </c>
      <c r="O419" s="3" t="str">
        <f t="shared" si="3"/>
        <v>COMPLIANT</v>
      </c>
    </row>
    <row r="420">
      <c r="A420" s="1">
        <v>419.0</v>
      </c>
      <c r="B420" s="1" t="s">
        <v>985</v>
      </c>
      <c r="C420" s="1" t="s">
        <v>57</v>
      </c>
      <c r="D420" s="1" t="s">
        <v>17</v>
      </c>
      <c r="E420" s="1" t="s">
        <v>17</v>
      </c>
      <c r="F420" s="1" t="s">
        <v>986</v>
      </c>
      <c r="G420" s="1" t="b">
        <v>1</v>
      </c>
      <c r="H420" s="1" t="s">
        <v>29</v>
      </c>
      <c r="I420" s="1" t="s">
        <v>17</v>
      </c>
      <c r="J420" s="1" t="b">
        <v>1</v>
      </c>
      <c r="K420" s="2">
        <v>45082.0</v>
      </c>
      <c r="L420" s="1" t="s">
        <v>20</v>
      </c>
      <c r="M420" s="3" t="str">
        <f t="shared" si="1"/>
        <v>✅ OK</v>
      </c>
      <c r="N420" s="3" t="str">
        <f t="shared" si="2"/>
        <v>OK</v>
      </c>
      <c r="O420" s="3" t="str">
        <f t="shared" si="3"/>
        <v>COMPLIANT</v>
      </c>
    </row>
    <row r="421">
      <c r="A421" s="1">
        <v>420.0</v>
      </c>
      <c r="B421" s="1" t="s">
        <v>987</v>
      </c>
      <c r="C421" s="1" t="s">
        <v>57</v>
      </c>
      <c r="D421" s="1" t="s">
        <v>108</v>
      </c>
      <c r="E421" s="1" t="s">
        <v>108</v>
      </c>
      <c r="F421" s="1" t="s">
        <v>988</v>
      </c>
      <c r="G421" s="1" t="b">
        <v>0</v>
      </c>
      <c r="H421" s="1" t="s">
        <v>44</v>
      </c>
      <c r="I421" s="1" t="s">
        <v>17</v>
      </c>
      <c r="J421" s="1" t="b">
        <v>1</v>
      </c>
      <c r="K421" s="1" t="s">
        <v>619</v>
      </c>
      <c r="L421" s="1" t="s">
        <v>31</v>
      </c>
      <c r="M421" s="3" t="str">
        <f t="shared" si="1"/>
        <v>✅ OK</v>
      </c>
      <c r="N421" s="3" t="str">
        <f t="shared" si="2"/>
        <v>OK</v>
      </c>
      <c r="O421" s="3" t="str">
        <f t="shared" si="3"/>
        <v>COMPLIANT</v>
      </c>
    </row>
    <row r="422">
      <c r="A422" s="1">
        <v>421.0</v>
      </c>
      <c r="B422" s="1" t="s">
        <v>820</v>
      </c>
      <c r="C422" s="1" t="s">
        <v>16</v>
      </c>
      <c r="D422" s="1" t="s">
        <v>51</v>
      </c>
      <c r="E422" s="1" t="s">
        <v>51</v>
      </c>
      <c r="F422" s="1" t="s">
        <v>989</v>
      </c>
      <c r="G422" s="1" t="b">
        <v>1</v>
      </c>
      <c r="H422" s="1" t="s">
        <v>29</v>
      </c>
      <c r="I422" s="1" t="s">
        <v>35</v>
      </c>
      <c r="J422" s="1" t="b">
        <v>1</v>
      </c>
      <c r="K422" s="1" t="s">
        <v>990</v>
      </c>
      <c r="L422" s="1" t="s">
        <v>20</v>
      </c>
      <c r="M422" s="3" t="str">
        <f t="shared" si="1"/>
        <v>✅ OK</v>
      </c>
      <c r="N422" s="3" t="str">
        <f t="shared" si="2"/>
        <v>OK</v>
      </c>
      <c r="O422" s="3" t="str">
        <f t="shared" si="3"/>
        <v>COMPLIANT</v>
      </c>
    </row>
    <row r="423">
      <c r="A423" s="1">
        <v>422.0</v>
      </c>
      <c r="B423" s="1" t="s">
        <v>320</v>
      </c>
      <c r="C423" s="1" t="s">
        <v>26</v>
      </c>
      <c r="D423" s="1" t="s">
        <v>74</v>
      </c>
      <c r="E423" s="1" t="s">
        <v>74</v>
      </c>
      <c r="F423" s="1" t="s">
        <v>991</v>
      </c>
      <c r="G423" s="1" t="b">
        <v>0</v>
      </c>
      <c r="H423" s="1" t="s">
        <v>29</v>
      </c>
      <c r="I423" s="1" t="s">
        <v>17</v>
      </c>
      <c r="J423" s="1" t="b">
        <v>0</v>
      </c>
      <c r="K423" s="2">
        <v>45667.0</v>
      </c>
      <c r="L423" s="1" t="s">
        <v>31</v>
      </c>
      <c r="M423" s="3" t="str">
        <f t="shared" si="1"/>
        <v>✅ OK</v>
      </c>
      <c r="N423" s="3" t="str">
        <f t="shared" si="2"/>
        <v>OK</v>
      </c>
      <c r="O423" s="3" t="str">
        <f t="shared" si="3"/>
        <v>COMPLIANT</v>
      </c>
    </row>
    <row r="424">
      <c r="A424" s="1">
        <v>423.0</v>
      </c>
      <c r="B424" s="1" t="s">
        <v>291</v>
      </c>
      <c r="C424" s="1" t="s">
        <v>26</v>
      </c>
      <c r="D424" s="1" t="s">
        <v>79</v>
      </c>
      <c r="E424" s="1" t="s">
        <v>79</v>
      </c>
      <c r="F424" s="1" t="s">
        <v>992</v>
      </c>
      <c r="G424" s="1" t="b">
        <v>1</v>
      </c>
      <c r="H424" s="1" t="s">
        <v>44</v>
      </c>
      <c r="I424" s="1" t="s">
        <v>17</v>
      </c>
      <c r="J424" s="1" t="b">
        <v>1</v>
      </c>
      <c r="K424" s="1" t="s">
        <v>728</v>
      </c>
      <c r="L424" s="1" t="s">
        <v>20</v>
      </c>
      <c r="M424" s="3" t="str">
        <f t="shared" si="1"/>
        <v>✅ OK</v>
      </c>
      <c r="N424" s="3" t="str">
        <f t="shared" si="2"/>
        <v>OK</v>
      </c>
      <c r="O424" s="3" t="str">
        <f t="shared" si="3"/>
        <v>COMPLIANT</v>
      </c>
    </row>
    <row r="425">
      <c r="A425" s="1">
        <v>424.0</v>
      </c>
      <c r="B425" s="1" t="s">
        <v>248</v>
      </c>
      <c r="C425" s="1" t="s">
        <v>57</v>
      </c>
      <c r="D425" s="1" t="s">
        <v>312</v>
      </c>
      <c r="E425" s="1" t="s">
        <v>312</v>
      </c>
      <c r="F425" s="1" t="s">
        <v>993</v>
      </c>
      <c r="G425" s="1" t="b">
        <v>0</v>
      </c>
      <c r="H425" s="1" t="s">
        <v>29</v>
      </c>
      <c r="I425" s="1" t="s">
        <v>24</v>
      </c>
      <c r="J425" s="1" t="b">
        <v>0</v>
      </c>
      <c r="K425" s="2">
        <v>45080.0</v>
      </c>
      <c r="L425" s="1" t="s">
        <v>20</v>
      </c>
      <c r="M425" s="3" t="str">
        <f t="shared" si="1"/>
        <v>✅ OK</v>
      </c>
      <c r="N425" s="3" t="str">
        <f t="shared" si="2"/>
        <v>OK</v>
      </c>
      <c r="O425" s="3" t="str">
        <f t="shared" si="3"/>
        <v>COMPLIANT</v>
      </c>
    </row>
    <row r="426">
      <c r="A426" s="1">
        <v>425.0</v>
      </c>
      <c r="B426" s="1" t="s">
        <v>160</v>
      </c>
      <c r="C426" s="1" t="s">
        <v>47</v>
      </c>
      <c r="D426" s="1" t="s">
        <v>79</v>
      </c>
      <c r="E426" s="1" t="s">
        <v>79</v>
      </c>
      <c r="F426" s="1" t="s">
        <v>994</v>
      </c>
      <c r="G426" s="1" t="b">
        <v>1</v>
      </c>
      <c r="I426" s="1" t="s">
        <v>24</v>
      </c>
      <c r="J426" s="1" t="b">
        <v>0</v>
      </c>
      <c r="K426" s="2">
        <v>45816.0</v>
      </c>
      <c r="L426" s="1" t="s">
        <v>20</v>
      </c>
      <c r="M426" s="3" t="str">
        <f t="shared" si="1"/>
        <v>✅ OK</v>
      </c>
      <c r="N426" s="3" t="str">
        <f t="shared" si="2"/>
        <v>OK</v>
      </c>
      <c r="O426" s="3" t="str">
        <f t="shared" si="3"/>
        <v>COMPLIANT</v>
      </c>
    </row>
    <row r="427">
      <c r="A427" s="1">
        <v>426.0</v>
      </c>
      <c r="B427" s="1" t="s">
        <v>25</v>
      </c>
      <c r="C427" s="1" t="s">
        <v>57</v>
      </c>
      <c r="D427" s="1" t="s">
        <v>22</v>
      </c>
      <c r="E427" s="1" t="s">
        <v>22</v>
      </c>
      <c r="F427" s="1" t="s">
        <v>995</v>
      </c>
      <c r="G427" s="1" t="b">
        <v>1</v>
      </c>
      <c r="H427" s="1" t="s">
        <v>29</v>
      </c>
      <c r="I427" s="1" t="s">
        <v>35</v>
      </c>
      <c r="J427" s="1" t="b">
        <v>1</v>
      </c>
      <c r="K427" s="2">
        <v>45115.0</v>
      </c>
      <c r="L427" s="1" t="s">
        <v>20</v>
      </c>
      <c r="M427" s="3" t="str">
        <f t="shared" si="1"/>
        <v>✅ OK</v>
      </c>
      <c r="N427" s="3" t="str">
        <f t="shared" si="2"/>
        <v>OK</v>
      </c>
      <c r="O427" s="3" t="str">
        <f t="shared" si="3"/>
        <v>COMPLIANT</v>
      </c>
    </row>
    <row r="428">
      <c r="A428" s="1">
        <v>427.0</v>
      </c>
      <c r="B428" s="1" t="s">
        <v>291</v>
      </c>
      <c r="C428" s="1" t="s">
        <v>16</v>
      </c>
      <c r="D428" s="1" t="s">
        <v>564</v>
      </c>
      <c r="E428" s="1" t="s">
        <v>564</v>
      </c>
      <c r="F428" s="1" t="s">
        <v>996</v>
      </c>
      <c r="G428" s="1" t="b">
        <v>1</v>
      </c>
      <c r="H428" s="1" t="s">
        <v>44</v>
      </c>
      <c r="I428" s="1" t="s">
        <v>24</v>
      </c>
      <c r="J428" s="1" t="b">
        <v>1</v>
      </c>
      <c r="K428" s="2">
        <v>45358.0</v>
      </c>
      <c r="L428" s="1" t="s">
        <v>20</v>
      </c>
      <c r="M428" s="3" t="str">
        <f t="shared" si="1"/>
        <v>✅ OK</v>
      </c>
      <c r="N428" s="3" t="str">
        <f t="shared" si="2"/>
        <v>OK</v>
      </c>
      <c r="O428" s="3" t="str">
        <f t="shared" si="3"/>
        <v>COMPLIANT</v>
      </c>
    </row>
    <row r="429">
      <c r="A429" s="1">
        <v>428.0</v>
      </c>
      <c r="B429" s="1" t="s">
        <v>826</v>
      </c>
      <c r="C429" s="1" t="s">
        <v>57</v>
      </c>
      <c r="D429" s="1" t="s">
        <v>173</v>
      </c>
      <c r="E429" s="1" t="s">
        <v>173</v>
      </c>
      <c r="F429" s="1" t="s">
        <v>997</v>
      </c>
      <c r="G429" s="1" t="b">
        <v>0</v>
      </c>
      <c r="H429" s="1" t="s">
        <v>29</v>
      </c>
      <c r="I429" s="1" t="s">
        <v>24</v>
      </c>
      <c r="J429" s="1" t="b">
        <v>1</v>
      </c>
      <c r="K429" s="2">
        <v>45118.0</v>
      </c>
      <c r="L429" s="1" t="s">
        <v>31</v>
      </c>
      <c r="M429" s="3" t="str">
        <f t="shared" si="1"/>
        <v>✅ OK</v>
      </c>
      <c r="N429" s="3" t="str">
        <f t="shared" si="2"/>
        <v>OK</v>
      </c>
      <c r="O429" s="3" t="str">
        <f t="shared" si="3"/>
        <v>COMPLIANT</v>
      </c>
    </row>
    <row r="430">
      <c r="A430" s="1">
        <v>429.0</v>
      </c>
      <c r="B430" s="1" t="s">
        <v>998</v>
      </c>
      <c r="C430" s="1" t="s">
        <v>16</v>
      </c>
      <c r="D430" s="1" t="s">
        <v>144</v>
      </c>
      <c r="E430" s="1" t="s">
        <v>144</v>
      </c>
      <c r="F430" s="1" t="s">
        <v>999</v>
      </c>
      <c r="G430" s="1" t="b">
        <v>0</v>
      </c>
      <c r="H430" s="1" t="s">
        <v>29</v>
      </c>
      <c r="I430" s="1" t="s">
        <v>24</v>
      </c>
      <c r="J430" s="1" t="b">
        <v>1</v>
      </c>
      <c r="K430" s="1" t="s">
        <v>282</v>
      </c>
      <c r="L430" s="1" t="s">
        <v>20</v>
      </c>
      <c r="M430" s="3" t="str">
        <f t="shared" si="1"/>
        <v>✅ OK</v>
      </c>
      <c r="N430" s="3" t="str">
        <f t="shared" si="2"/>
        <v>OK</v>
      </c>
      <c r="O430" s="3" t="str">
        <f t="shared" si="3"/>
        <v>COMPLIANT</v>
      </c>
    </row>
    <row r="431">
      <c r="A431" s="1">
        <v>430.0</v>
      </c>
      <c r="B431" s="1" t="s">
        <v>100</v>
      </c>
      <c r="C431" s="1" t="s">
        <v>26</v>
      </c>
      <c r="D431" s="1" t="s">
        <v>348</v>
      </c>
      <c r="E431" s="1" t="s">
        <v>348</v>
      </c>
      <c r="F431" s="1" t="s">
        <v>1000</v>
      </c>
      <c r="G431" s="1" t="b">
        <v>1</v>
      </c>
      <c r="H431" s="1" t="s">
        <v>29</v>
      </c>
      <c r="I431" s="1" t="s">
        <v>24</v>
      </c>
      <c r="J431" s="1" t="b">
        <v>0</v>
      </c>
      <c r="K431" s="1" t="s">
        <v>1001</v>
      </c>
      <c r="L431" s="1" t="s">
        <v>20</v>
      </c>
      <c r="M431" s="3" t="str">
        <f t="shared" si="1"/>
        <v>✅ OK</v>
      </c>
      <c r="N431" s="3" t="str">
        <f t="shared" si="2"/>
        <v>OK</v>
      </c>
      <c r="O431" s="3" t="str">
        <f t="shared" si="3"/>
        <v>COMPLIANT</v>
      </c>
    </row>
    <row r="432">
      <c r="A432" s="1">
        <v>431.0</v>
      </c>
      <c r="B432" s="1" t="s">
        <v>304</v>
      </c>
      <c r="C432" s="1" t="s">
        <v>57</v>
      </c>
      <c r="D432" s="1" t="s">
        <v>42</v>
      </c>
      <c r="E432" s="1" t="s">
        <v>42</v>
      </c>
      <c r="F432" s="1" t="s">
        <v>1002</v>
      </c>
      <c r="G432" s="1" t="b">
        <v>1</v>
      </c>
      <c r="H432" s="1" t="s">
        <v>29</v>
      </c>
      <c r="I432" s="1" t="s">
        <v>24</v>
      </c>
      <c r="J432" s="1" t="b">
        <v>1</v>
      </c>
      <c r="K432" s="2">
        <v>45817.0</v>
      </c>
      <c r="L432" s="1" t="s">
        <v>20</v>
      </c>
      <c r="M432" s="3" t="str">
        <f t="shared" si="1"/>
        <v>✅ OK</v>
      </c>
      <c r="N432" s="3" t="str">
        <f t="shared" si="2"/>
        <v>OK</v>
      </c>
      <c r="O432" s="3" t="str">
        <f t="shared" si="3"/>
        <v>COMPLIANT</v>
      </c>
    </row>
    <row r="433">
      <c r="A433" s="1">
        <v>432.0</v>
      </c>
      <c r="B433" s="1" t="s">
        <v>1003</v>
      </c>
      <c r="C433" s="1" t="s">
        <v>16</v>
      </c>
      <c r="D433" s="1" t="s">
        <v>101</v>
      </c>
      <c r="E433" s="1" t="s">
        <v>101</v>
      </c>
      <c r="F433" s="1" t="s">
        <v>1004</v>
      </c>
      <c r="G433" s="1" t="b">
        <v>0</v>
      </c>
      <c r="H433" s="1" t="s">
        <v>44</v>
      </c>
      <c r="I433" s="1" t="s">
        <v>24</v>
      </c>
      <c r="J433" s="1" t="b">
        <v>0</v>
      </c>
      <c r="K433" s="2">
        <v>45847.0</v>
      </c>
      <c r="L433" s="1" t="s">
        <v>20</v>
      </c>
      <c r="M433" s="3" t="str">
        <f t="shared" si="1"/>
        <v>✅ OK</v>
      </c>
      <c r="N433" s="3" t="str">
        <f t="shared" si="2"/>
        <v>OK</v>
      </c>
      <c r="O433" s="3" t="str">
        <f t="shared" si="3"/>
        <v>COMPLIANT</v>
      </c>
    </row>
    <row r="434">
      <c r="A434" s="1">
        <v>433.0</v>
      </c>
      <c r="B434" s="1" t="s">
        <v>459</v>
      </c>
      <c r="C434" s="1" t="s">
        <v>26</v>
      </c>
      <c r="D434" s="1" t="s">
        <v>17</v>
      </c>
      <c r="E434" s="1" t="s">
        <v>17</v>
      </c>
      <c r="F434" s="1" t="s">
        <v>1005</v>
      </c>
      <c r="G434" s="1" t="b">
        <v>0</v>
      </c>
      <c r="H434" s="1" t="s">
        <v>29</v>
      </c>
      <c r="I434" s="1" t="s">
        <v>24</v>
      </c>
      <c r="J434" s="1" t="b">
        <v>0</v>
      </c>
      <c r="K434" s="1" t="s">
        <v>1006</v>
      </c>
      <c r="L434" s="1" t="s">
        <v>20</v>
      </c>
      <c r="M434" s="3" t="str">
        <f t="shared" si="1"/>
        <v>✅ OK</v>
      </c>
      <c r="N434" s="3" t="str">
        <f t="shared" si="2"/>
        <v>OK</v>
      </c>
      <c r="O434" s="3" t="str">
        <f t="shared" si="3"/>
        <v>COMPLIANT</v>
      </c>
    </row>
    <row r="435">
      <c r="A435" s="1">
        <v>434.0</v>
      </c>
      <c r="B435" s="1" t="s">
        <v>283</v>
      </c>
      <c r="C435" s="1" t="s">
        <v>16</v>
      </c>
      <c r="D435" s="1" t="s">
        <v>79</v>
      </c>
      <c r="E435" s="1" t="s">
        <v>79</v>
      </c>
      <c r="F435" s="1" t="s">
        <v>1007</v>
      </c>
      <c r="G435" s="1" t="b">
        <v>0</v>
      </c>
      <c r="H435" s="1" t="s">
        <v>29</v>
      </c>
      <c r="I435" s="1" t="s">
        <v>17</v>
      </c>
      <c r="J435" s="1" t="b">
        <v>1</v>
      </c>
      <c r="K435" s="2">
        <v>45994.0</v>
      </c>
      <c r="L435" s="1" t="s">
        <v>20</v>
      </c>
      <c r="M435" s="3" t="str">
        <f t="shared" si="1"/>
        <v>✅ OK</v>
      </c>
      <c r="N435" s="3" t="str">
        <f t="shared" si="2"/>
        <v>OK</v>
      </c>
      <c r="O435" s="3" t="str">
        <f t="shared" si="3"/>
        <v>COMPLIANT</v>
      </c>
    </row>
    <row r="436">
      <c r="A436" s="1">
        <v>435.0</v>
      </c>
      <c r="B436" s="1" t="s">
        <v>160</v>
      </c>
      <c r="C436" s="1" t="s">
        <v>47</v>
      </c>
      <c r="D436" s="1" t="s">
        <v>79</v>
      </c>
      <c r="E436" s="1" t="s">
        <v>79</v>
      </c>
      <c r="F436" s="1" t="s">
        <v>1008</v>
      </c>
      <c r="G436" s="1" t="b">
        <v>0</v>
      </c>
      <c r="H436" s="1" t="s">
        <v>44</v>
      </c>
      <c r="I436" s="1" t="s">
        <v>24</v>
      </c>
      <c r="J436" s="1" t="b">
        <v>0</v>
      </c>
      <c r="K436" s="1" t="s">
        <v>153</v>
      </c>
      <c r="L436" s="1" t="s">
        <v>20</v>
      </c>
      <c r="M436" s="3" t="str">
        <f t="shared" si="1"/>
        <v>✅ OK</v>
      </c>
      <c r="N436" s="3" t="str">
        <f t="shared" si="2"/>
        <v>OK</v>
      </c>
      <c r="O436" s="3" t="str">
        <f t="shared" si="3"/>
        <v>COMPLIANT</v>
      </c>
    </row>
    <row r="437">
      <c r="A437" s="1">
        <v>436.0</v>
      </c>
      <c r="B437" s="1" t="s">
        <v>476</v>
      </c>
      <c r="C437" s="1" t="s">
        <v>57</v>
      </c>
      <c r="D437" s="1" t="s">
        <v>650</v>
      </c>
      <c r="E437" s="1" t="s">
        <v>650</v>
      </c>
      <c r="F437" s="1" t="s">
        <v>1009</v>
      </c>
      <c r="G437" s="1" t="b">
        <v>1</v>
      </c>
      <c r="I437" s="1" t="s">
        <v>17</v>
      </c>
      <c r="J437" s="1" t="b">
        <v>1</v>
      </c>
      <c r="K437" s="1" t="s">
        <v>704</v>
      </c>
      <c r="L437" s="1" t="s">
        <v>31</v>
      </c>
      <c r="M437" s="3" t="str">
        <f t="shared" si="1"/>
        <v>✅ OK</v>
      </c>
      <c r="N437" s="3" t="str">
        <f t="shared" si="2"/>
        <v>OK</v>
      </c>
      <c r="O437" s="3" t="str">
        <f t="shared" si="3"/>
        <v>COMPLIANT</v>
      </c>
    </row>
    <row r="438">
      <c r="A438" s="1">
        <v>437.0</v>
      </c>
      <c r="B438" s="1" t="s">
        <v>170</v>
      </c>
      <c r="C438" s="1" t="s">
        <v>41</v>
      </c>
      <c r="D438" s="1" t="s">
        <v>37</v>
      </c>
      <c r="E438" s="1" t="s">
        <v>37</v>
      </c>
      <c r="F438" s="1" t="s">
        <v>1010</v>
      </c>
      <c r="G438" s="1" t="b">
        <v>0</v>
      </c>
      <c r="I438" s="1" t="s">
        <v>35</v>
      </c>
      <c r="J438" s="1" t="b">
        <v>0</v>
      </c>
      <c r="K438" s="2">
        <v>45662.0</v>
      </c>
      <c r="L438" s="1" t="s">
        <v>31</v>
      </c>
      <c r="M438" s="3" t="str">
        <f t="shared" si="1"/>
        <v>✅ OK</v>
      </c>
      <c r="N438" s="3" t="str">
        <f t="shared" si="2"/>
        <v>OK</v>
      </c>
      <c r="O438" s="3" t="str">
        <f t="shared" si="3"/>
        <v>COMPLIANT</v>
      </c>
    </row>
    <row r="439">
      <c r="A439" s="1">
        <v>438.0</v>
      </c>
      <c r="B439" s="1" t="s">
        <v>881</v>
      </c>
      <c r="C439" s="1" t="s">
        <v>41</v>
      </c>
      <c r="D439" s="1" t="s">
        <v>33</v>
      </c>
      <c r="E439" s="1" t="s">
        <v>33</v>
      </c>
      <c r="F439" s="1" t="s">
        <v>1011</v>
      </c>
      <c r="G439" s="1" t="b">
        <v>1</v>
      </c>
      <c r="H439" s="1" t="s">
        <v>29</v>
      </c>
      <c r="I439" s="1" t="s">
        <v>17</v>
      </c>
      <c r="J439" s="1" t="b">
        <v>1</v>
      </c>
      <c r="K439" s="1" t="s">
        <v>1012</v>
      </c>
      <c r="L439" s="1" t="s">
        <v>20</v>
      </c>
      <c r="M439" s="3" t="str">
        <f t="shared" si="1"/>
        <v>✅ OK</v>
      </c>
      <c r="N439" s="3" t="str">
        <f t="shared" si="2"/>
        <v>OK</v>
      </c>
      <c r="O439" s="3" t="str">
        <f t="shared" si="3"/>
        <v>COMPLIANT</v>
      </c>
    </row>
    <row r="440">
      <c r="A440" s="1">
        <v>439.0</v>
      </c>
      <c r="B440" s="1" t="s">
        <v>1013</v>
      </c>
      <c r="C440" s="1" t="s">
        <v>26</v>
      </c>
      <c r="D440" s="1" t="s">
        <v>37</v>
      </c>
      <c r="E440" s="1" t="s">
        <v>37</v>
      </c>
      <c r="F440" s="1" t="s">
        <v>1014</v>
      </c>
      <c r="G440" s="1" t="b">
        <v>1</v>
      </c>
      <c r="H440" s="1" t="s">
        <v>29</v>
      </c>
      <c r="I440" s="1" t="s">
        <v>17</v>
      </c>
      <c r="J440" s="1" t="b">
        <v>1</v>
      </c>
      <c r="K440" s="1" t="s">
        <v>1015</v>
      </c>
      <c r="L440" s="1" t="s">
        <v>20</v>
      </c>
      <c r="M440" s="3" t="str">
        <f t="shared" si="1"/>
        <v>✅ OK</v>
      </c>
      <c r="N440" s="3" t="str">
        <f t="shared" si="2"/>
        <v>OK</v>
      </c>
      <c r="O440" s="3" t="str">
        <f t="shared" si="3"/>
        <v>COMPLIANT</v>
      </c>
    </row>
    <row r="441">
      <c r="A441" s="1">
        <v>440.0</v>
      </c>
      <c r="B441" s="1" t="s">
        <v>1016</v>
      </c>
      <c r="C441" s="1" t="s">
        <v>47</v>
      </c>
      <c r="D441" s="1" t="s">
        <v>42</v>
      </c>
      <c r="E441" s="1" t="s">
        <v>42</v>
      </c>
      <c r="F441" s="1" t="s">
        <v>1017</v>
      </c>
      <c r="G441" s="1" t="b">
        <v>1</v>
      </c>
      <c r="I441" s="1" t="s">
        <v>24</v>
      </c>
      <c r="J441" s="1" t="b">
        <v>0</v>
      </c>
      <c r="K441" s="2">
        <v>44969.0</v>
      </c>
      <c r="L441" s="1" t="s">
        <v>20</v>
      </c>
      <c r="M441" s="3" t="str">
        <f t="shared" si="1"/>
        <v>✅ OK</v>
      </c>
      <c r="N441" s="3" t="str">
        <f t="shared" si="2"/>
        <v>OK</v>
      </c>
      <c r="O441" s="3" t="str">
        <f t="shared" si="3"/>
        <v>COMPLIANT</v>
      </c>
    </row>
    <row r="442">
      <c r="A442" s="1">
        <v>441.0</v>
      </c>
      <c r="B442" s="1" t="s">
        <v>1018</v>
      </c>
      <c r="C442" s="1" t="s">
        <v>16</v>
      </c>
      <c r="D442" s="1" t="s">
        <v>144</v>
      </c>
      <c r="E442" s="1" t="s">
        <v>144</v>
      </c>
      <c r="F442" s="1" t="s">
        <v>1019</v>
      </c>
      <c r="G442" s="1" t="b">
        <v>1</v>
      </c>
      <c r="H442" s="1" t="s">
        <v>29</v>
      </c>
      <c r="I442" s="1" t="s">
        <v>24</v>
      </c>
      <c r="J442" s="1" t="b">
        <v>0</v>
      </c>
      <c r="K442" s="1" t="s">
        <v>967</v>
      </c>
      <c r="L442" s="1" t="s">
        <v>20</v>
      </c>
      <c r="M442" s="3" t="str">
        <f t="shared" si="1"/>
        <v>✅ OK</v>
      </c>
      <c r="N442" s="3" t="str">
        <f t="shared" si="2"/>
        <v>OK</v>
      </c>
      <c r="O442" s="3" t="str">
        <f t="shared" si="3"/>
        <v>COMPLIANT</v>
      </c>
    </row>
    <row r="443">
      <c r="A443" s="1">
        <v>442.0</v>
      </c>
      <c r="B443" s="1" t="s">
        <v>1020</v>
      </c>
      <c r="C443" s="1" t="s">
        <v>47</v>
      </c>
      <c r="D443" s="1" t="s">
        <v>144</v>
      </c>
      <c r="E443" s="1" t="s">
        <v>144</v>
      </c>
      <c r="F443" s="1" t="s">
        <v>1021</v>
      </c>
      <c r="G443" s="1" t="b">
        <v>1</v>
      </c>
      <c r="H443" s="1" t="s">
        <v>44</v>
      </c>
      <c r="I443" s="1" t="s">
        <v>17</v>
      </c>
      <c r="J443" s="1" t="b">
        <v>1</v>
      </c>
      <c r="K443" s="2">
        <v>45718.0</v>
      </c>
      <c r="L443" s="1" t="s">
        <v>20</v>
      </c>
      <c r="M443" s="3" t="str">
        <f t="shared" si="1"/>
        <v>✅ OK</v>
      </c>
      <c r="N443" s="3" t="str">
        <f t="shared" si="2"/>
        <v>OK</v>
      </c>
      <c r="O443" s="3" t="str">
        <f t="shared" si="3"/>
        <v>COMPLIANT</v>
      </c>
    </row>
    <row r="444">
      <c r="A444" s="1">
        <v>443.0</v>
      </c>
      <c r="B444" s="1" t="s">
        <v>969</v>
      </c>
      <c r="C444" s="1" t="s">
        <v>16</v>
      </c>
      <c r="D444" s="1" t="s">
        <v>173</v>
      </c>
      <c r="E444" s="1" t="s">
        <v>173</v>
      </c>
      <c r="F444" s="1" t="s">
        <v>1022</v>
      </c>
      <c r="G444" s="1" t="b">
        <v>0</v>
      </c>
      <c r="H444" s="1" t="s">
        <v>29</v>
      </c>
      <c r="I444" s="1" t="s">
        <v>35</v>
      </c>
      <c r="J444" s="1" t="b">
        <v>1</v>
      </c>
      <c r="K444" s="2">
        <v>45024.0</v>
      </c>
      <c r="L444" s="1" t="s">
        <v>20</v>
      </c>
      <c r="M444" s="3" t="str">
        <f t="shared" si="1"/>
        <v>✅ OK</v>
      </c>
      <c r="N444" s="3" t="str">
        <f t="shared" si="2"/>
        <v>OK</v>
      </c>
      <c r="O444" s="3" t="str">
        <f t="shared" si="3"/>
        <v>COMPLIANT</v>
      </c>
    </row>
    <row r="445">
      <c r="A445" s="1">
        <v>444.0</v>
      </c>
      <c r="B445" s="1" t="s">
        <v>842</v>
      </c>
      <c r="C445" s="1" t="s">
        <v>47</v>
      </c>
      <c r="D445" s="1" t="s">
        <v>1023</v>
      </c>
      <c r="E445" s="1" t="s">
        <v>1023</v>
      </c>
      <c r="F445" s="1" t="s">
        <v>1024</v>
      </c>
      <c r="G445" s="1" t="b">
        <v>1</v>
      </c>
      <c r="H445" s="1" t="s">
        <v>29</v>
      </c>
      <c r="I445" s="1" t="s">
        <v>24</v>
      </c>
      <c r="J445" s="1" t="b">
        <v>1</v>
      </c>
      <c r="K445" s="1" t="s">
        <v>1025</v>
      </c>
      <c r="L445" s="1" t="s">
        <v>20</v>
      </c>
      <c r="M445" s="3" t="str">
        <f t="shared" si="1"/>
        <v>✅ OK</v>
      </c>
      <c r="N445" s="3" t="str">
        <f t="shared" si="2"/>
        <v>OK</v>
      </c>
      <c r="O445" s="3" t="str">
        <f t="shared" si="3"/>
        <v>COMPLIANT</v>
      </c>
    </row>
    <row r="446">
      <c r="A446" s="1">
        <v>445.0</v>
      </c>
      <c r="B446" s="1" t="s">
        <v>1026</v>
      </c>
      <c r="C446" s="1" t="s">
        <v>57</v>
      </c>
      <c r="D446" s="1" t="s">
        <v>79</v>
      </c>
      <c r="E446" s="1" t="s">
        <v>79</v>
      </c>
      <c r="F446" s="1" t="s">
        <v>1027</v>
      </c>
      <c r="G446" s="1" t="b">
        <v>0</v>
      </c>
      <c r="H446" s="1" t="s">
        <v>29</v>
      </c>
      <c r="I446" s="1" t="s">
        <v>17</v>
      </c>
      <c r="J446" s="1" t="b">
        <v>1</v>
      </c>
      <c r="K446" s="1" t="s">
        <v>1028</v>
      </c>
      <c r="L446" s="1" t="s">
        <v>31</v>
      </c>
      <c r="M446" s="3" t="str">
        <f t="shared" si="1"/>
        <v>✅ OK</v>
      </c>
      <c r="N446" s="3" t="str">
        <f t="shared" si="2"/>
        <v>OK</v>
      </c>
      <c r="O446" s="3" t="str">
        <f t="shared" si="3"/>
        <v>COMPLIANT</v>
      </c>
    </row>
    <row r="447">
      <c r="A447" s="1">
        <v>446.0</v>
      </c>
      <c r="B447" s="1" t="s">
        <v>113</v>
      </c>
      <c r="C447" s="1" t="s">
        <v>41</v>
      </c>
      <c r="D447" s="1" t="s">
        <v>51</v>
      </c>
      <c r="E447" s="1" t="s">
        <v>51</v>
      </c>
      <c r="F447" s="1" t="s">
        <v>1029</v>
      </c>
      <c r="G447" s="1" t="b">
        <v>1</v>
      </c>
      <c r="H447" s="1" t="s">
        <v>29</v>
      </c>
      <c r="I447" s="1" t="s">
        <v>24</v>
      </c>
      <c r="J447" s="1" t="b">
        <v>1</v>
      </c>
      <c r="K447" s="1" t="s">
        <v>1030</v>
      </c>
      <c r="L447" s="1" t="s">
        <v>31</v>
      </c>
      <c r="M447" s="3" t="str">
        <f t="shared" si="1"/>
        <v>✅ OK</v>
      </c>
      <c r="N447" s="3" t="str">
        <f t="shared" si="2"/>
        <v>OK</v>
      </c>
      <c r="O447" s="3" t="str">
        <f t="shared" si="3"/>
        <v>COMPLIANT</v>
      </c>
    </row>
    <row r="448">
      <c r="A448" s="1">
        <v>447.0</v>
      </c>
      <c r="B448" s="1" t="s">
        <v>506</v>
      </c>
      <c r="C448" s="1" t="s">
        <v>57</v>
      </c>
      <c r="D448" s="1" t="s">
        <v>42</v>
      </c>
      <c r="E448" s="1" t="s">
        <v>42</v>
      </c>
      <c r="F448" s="1" t="s">
        <v>1031</v>
      </c>
      <c r="G448" s="1" t="b">
        <v>0</v>
      </c>
      <c r="H448" s="1" t="s">
        <v>44</v>
      </c>
      <c r="I448" s="1" t="s">
        <v>17</v>
      </c>
      <c r="J448" s="1" t="b">
        <v>0</v>
      </c>
      <c r="K448" s="2">
        <v>45455.0</v>
      </c>
      <c r="L448" s="1" t="s">
        <v>31</v>
      </c>
      <c r="M448" s="3" t="str">
        <f t="shared" si="1"/>
        <v>✅ OK</v>
      </c>
      <c r="N448" s="3" t="str">
        <f t="shared" si="2"/>
        <v>OK</v>
      </c>
      <c r="O448" s="3" t="str">
        <f t="shared" si="3"/>
        <v>COMPLIANT</v>
      </c>
    </row>
    <row r="449">
      <c r="A449" s="1">
        <v>448.0</v>
      </c>
      <c r="B449" s="1" t="s">
        <v>653</v>
      </c>
      <c r="C449" s="1" t="s">
        <v>16</v>
      </c>
      <c r="D449" s="1" t="s">
        <v>79</v>
      </c>
      <c r="E449" s="1" t="s">
        <v>79</v>
      </c>
      <c r="F449" s="1" t="s">
        <v>1032</v>
      </c>
      <c r="G449" s="1" t="b">
        <v>0</v>
      </c>
      <c r="H449" s="1" t="s">
        <v>19</v>
      </c>
      <c r="I449" s="1" t="s">
        <v>35</v>
      </c>
      <c r="J449" s="1" t="b">
        <v>1</v>
      </c>
      <c r="K449" s="1" t="s">
        <v>711</v>
      </c>
      <c r="L449" s="1" t="s">
        <v>31</v>
      </c>
      <c r="M449" s="3" t="str">
        <f t="shared" si="1"/>
        <v>✅ OK</v>
      </c>
      <c r="N449" s="3" t="str">
        <f t="shared" si="2"/>
        <v>OK</v>
      </c>
      <c r="O449" s="3" t="str">
        <f t="shared" si="3"/>
        <v>COMPLIANT</v>
      </c>
    </row>
    <row r="450">
      <c r="A450" s="1">
        <v>449.0</v>
      </c>
      <c r="B450" s="1" t="s">
        <v>893</v>
      </c>
      <c r="C450" s="1" t="s">
        <v>16</v>
      </c>
      <c r="D450" s="1" t="s">
        <v>42</v>
      </c>
      <c r="E450" s="1" t="s">
        <v>42</v>
      </c>
      <c r="F450" s="1" t="s">
        <v>1033</v>
      </c>
      <c r="G450" s="1" t="b">
        <v>0</v>
      </c>
      <c r="H450" s="1" t="s">
        <v>29</v>
      </c>
      <c r="I450" s="1" t="s">
        <v>17</v>
      </c>
      <c r="J450" s="1" t="b">
        <v>0</v>
      </c>
      <c r="K450" s="1" t="s">
        <v>1034</v>
      </c>
      <c r="L450" s="1" t="s">
        <v>31</v>
      </c>
      <c r="M450" s="3" t="str">
        <f t="shared" si="1"/>
        <v>✅ OK</v>
      </c>
      <c r="N450" s="3" t="str">
        <f t="shared" si="2"/>
        <v>OK</v>
      </c>
      <c r="O450" s="3" t="str">
        <f t="shared" si="3"/>
        <v>COMPLIANT</v>
      </c>
    </row>
    <row r="451">
      <c r="A451" s="1">
        <v>450.0</v>
      </c>
      <c r="B451" s="1" t="s">
        <v>1035</v>
      </c>
      <c r="C451" s="1" t="s">
        <v>41</v>
      </c>
      <c r="D451" s="1" t="s">
        <v>79</v>
      </c>
      <c r="E451" s="1" t="s">
        <v>79</v>
      </c>
      <c r="F451" s="1" t="s">
        <v>1036</v>
      </c>
      <c r="G451" s="1" t="b">
        <v>1</v>
      </c>
      <c r="H451" s="1" t="s">
        <v>29</v>
      </c>
      <c r="I451" s="1" t="s">
        <v>24</v>
      </c>
      <c r="J451" s="1" t="b">
        <v>0</v>
      </c>
      <c r="K451" s="1" t="s">
        <v>1037</v>
      </c>
      <c r="L451" s="1" t="s">
        <v>20</v>
      </c>
      <c r="M451" s="3" t="str">
        <f t="shared" si="1"/>
        <v>✅ OK</v>
      </c>
      <c r="N451" s="3" t="str">
        <f t="shared" si="2"/>
        <v>OK</v>
      </c>
      <c r="O451" s="3" t="str">
        <f t="shared" si="3"/>
        <v>COMPLIANT</v>
      </c>
    </row>
    <row r="452">
      <c r="A452" s="1">
        <v>451.0</v>
      </c>
      <c r="B452" s="1" t="s">
        <v>196</v>
      </c>
      <c r="C452" s="1" t="s">
        <v>57</v>
      </c>
      <c r="D452" s="1" t="s">
        <v>42</v>
      </c>
      <c r="E452" s="1" t="s">
        <v>42</v>
      </c>
      <c r="F452" s="1" t="s">
        <v>1038</v>
      </c>
      <c r="G452" s="1" t="b">
        <v>0</v>
      </c>
      <c r="I452" s="1" t="s">
        <v>24</v>
      </c>
      <c r="J452" s="1" t="b">
        <v>1</v>
      </c>
      <c r="K452" s="1" t="s">
        <v>723</v>
      </c>
      <c r="L452" s="1" t="s">
        <v>31</v>
      </c>
      <c r="M452" s="3" t="str">
        <f t="shared" si="1"/>
        <v>✅ OK</v>
      </c>
      <c r="N452" s="3" t="str">
        <f t="shared" si="2"/>
        <v>OK</v>
      </c>
      <c r="O452" s="3" t="str">
        <f t="shared" si="3"/>
        <v>COMPLIANT</v>
      </c>
    </row>
    <row r="453">
      <c r="A453" s="1">
        <v>452.0</v>
      </c>
      <c r="B453" s="1" t="s">
        <v>65</v>
      </c>
      <c r="C453" s="1" t="s">
        <v>41</v>
      </c>
      <c r="D453" s="1" t="s">
        <v>1039</v>
      </c>
      <c r="E453" s="1" t="s">
        <v>1039</v>
      </c>
      <c r="F453" s="1" t="s">
        <v>1040</v>
      </c>
      <c r="G453" s="1" t="b">
        <v>1</v>
      </c>
      <c r="H453" s="1" t="s">
        <v>19</v>
      </c>
      <c r="I453" s="1" t="s">
        <v>35</v>
      </c>
      <c r="J453" s="1" t="b">
        <v>1</v>
      </c>
      <c r="K453" s="1" t="s">
        <v>1041</v>
      </c>
      <c r="L453" s="1" t="s">
        <v>20</v>
      </c>
      <c r="M453" s="3" t="str">
        <f t="shared" si="1"/>
        <v>✅ OK</v>
      </c>
      <c r="N453" s="3" t="str">
        <f t="shared" si="2"/>
        <v>OK</v>
      </c>
      <c r="O453" s="3" t="str">
        <f t="shared" si="3"/>
        <v>COMPLIANT</v>
      </c>
    </row>
    <row r="454">
      <c r="A454" s="1">
        <v>453.0</v>
      </c>
      <c r="B454" s="1" t="s">
        <v>826</v>
      </c>
      <c r="C454" s="1" t="s">
        <v>41</v>
      </c>
      <c r="D454" s="1" t="s">
        <v>79</v>
      </c>
      <c r="E454" s="1" t="s">
        <v>79</v>
      </c>
      <c r="F454" s="1" t="s">
        <v>1042</v>
      </c>
      <c r="G454" s="1" t="b">
        <v>1</v>
      </c>
      <c r="H454" s="1" t="s">
        <v>29</v>
      </c>
      <c r="I454" s="1" t="s">
        <v>24</v>
      </c>
      <c r="J454" s="1" t="b">
        <v>1</v>
      </c>
      <c r="K454" s="1" t="s">
        <v>532</v>
      </c>
      <c r="L454" s="1" t="s">
        <v>31</v>
      </c>
      <c r="M454" s="3" t="str">
        <f t="shared" si="1"/>
        <v>✅ OK</v>
      </c>
      <c r="N454" s="3" t="str">
        <f t="shared" si="2"/>
        <v>OK</v>
      </c>
      <c r="O454" s="3" t="str">
        <f t="shared" si="3"/>
        <v>COMPLIANT</v>
      </c>
    </row>
    <row r="455">
      <c r="A455" s="1">
        <v>454.0</v>
      </c>
      <c r="B455" s="1" t="s">
        <v>1043</v>
      </c>
      <c r="C455" s="1" t="s">
        <v>57</v>
      </c>
      <c r="D455" s="1" t="s">
        <v>42</v>
      </c>
      <c r="E455" s="1" t="s">
        <v>42</v>
      </c>
      <c r="F455" s="1" t="s">
        <v>1044</v>
      </c>
      <c r="G455" s="1" t="b">
        <v>0</v>
      </c>
      <c r="I455" s="1" t="s">
        <v>24</v>
      </c>
      <c r="J455" s="1" t="b">
        <v>0</v>
      </c>
      <c r="K455" s="1" t="s">
        <v>466</v>
      </c>
      <c r="L455" s="1" t="s">
        <v>20</v>
      </c>
      <c r="M455" s="3" t="str">
        <f t="shared" si="1"/>
        <v>✅ OK</v>
      </c>
      <c r="N455" s="3" t="str">
        <f t="shared" si="2"/>
        <v>OK</v>
      </c>
      <c r="O455" s="3" t="str">
        <f t="shared" si="3"/>
        <v>COMPLIANT</v>
      </c>
    </row>
    <row r="456">
      <c r="A456" s="1">
        <v>455.0</v>
      </c>
      <c r="B456" s="1" t="s">
        <v>283</v>
      </c>
      <c r="C456" s="1" t="s">
        <v>41</v>
      </c>
      <c r="D456" s="1" t="s">
        <v>101</v>
      </c>
      <c r="E456" s="1" t="s">
        <v>101</v>
      </c>
      <c r="F456" s="1" t="s">
        <v>1045</v>
      </c>
      <c r="G456" s="1" t="b">
        <v>0</v>
      </c>
      <c r="H456" s="1" t="s">
        <v>29</v>
      </c>
      <c r="I456" s="1" t="s">
        <v>24</v>
      </c>
      <c r="J456" s="1" t="b">
        <v>1</v>
      </c>
      <c r="K456" s="2">
        <v>45019.0</v>
      </c>
      <c r="L456" s="1" t="s">
        <v>20</v>
      </c>
      <c r="M456" s="3" t="str">
        <f t="shared" si="1"/>
        <v>✅ OK</v>
      </c>
      <c r="N456" s="3" t="str">
        <f t="shared" si="2"/>
        <v>OK</v>
      </c>
      <c r="O456" s="3" t="str">
        <f t="shared" si="3"/>
        <v>COMPLIANT</v>
      </c>
    </row>
    <row r="457">
      <c r="A457" s="1">
        <v>456.0</v>
      </c>
      <c r="B457" s="1" t="s">
        <v>1046</v>
      </c>
      <c r="C457" s="1" t="s">
        <v>47</v>
      </c>
      <c r="D457" s="1" t="s">
        <v>245</v>
      </c>
      <c r="E457" s="1" t="s">
        <v>245</v>
      </c>
      <c r="F457" s="1" t="s">
        <v>1047</v>
      </c>
      <c r="G457" s="1" t="b">
        <v>0</v>
      </c>
      <c r="H457" s="1" t="s">
        <v>19</v>
      </c>
      <c r="I457" s="1" t="s">
        <v>35</v>
      </c>
      <c r="J457" s="1" t="b">
        <v>1</v>
      </c>
      <c r="K457" s="1" t="s">
        <v>408</v>
      </c>
      <c r="L457" s="1" t="s">
        <v>31</v>
      </c>
      <c r="M457" s="3" t="str">
        <f t="shared" si="1"/>
        <v>✅ OK</v>
      </c>
      <c r="N457" s="3" t="str">
        <f t="shared" si="2"/>
        <v>OK</v>
      </c>
      <c r="O457" s="3" t="str">
        <f t="shared" si="3"/>
        <v>COMPLIANT</v>
      </c>
    </row>
    <row r="458">
      <c r="A458" s="1">
        <v>457.0</v>
      </c>
      <c r="B458" s="1" t="s">
        <v>1048</v>
      </c>
      <c r="C458" s="1" t="s">
        <v>57</v>
      </c>
      <c r="D458" s="1" t="s">
        <v>79</v>
      </c>
      <c r="E458" s="1" t="s">
        <v>79</v>
      </c>
      <c r="F458" s="1" t="s">
        <v>1049</v>
      </c>
      <c r="G458" s="1" t="b">
        <v>0</v>
      </c>
      <c r="H458" s="1" t="s">
        <v>29</v>
      </c>
      <c r="I458" s="1" t="s">
        <v>35</v>
      </c>
      <c r="J458" s="1" t="b">
        <v>1</v>
      </c>
      <c r="K458" s="2">
        <v>45385.0</v>
      </c>
      <c r="L458" s="1" t="s">
        <v>20</v>
      </c>
      <c r="M458" s="3" t="str">
        <f t="shared" si="1"/>
        <v>✅ OK</v>
      </c>
      <c r="N458" s="3" t="str">
        <f t="shared" si="2"/>
        <v>OK</v>
      </c>
      <c r="O458" s="3" t="str">
        <f t="shared" si="3"/>
        <v>COMPLIANT</v>
      </c>
    </row>
    <row r="459">
      <c r="A459" s="1">
        <v>458.0</v>
      </c>
      <c r="B459" s="1" t="s">
        <v>828</v>
      </c>
      <c r="C459" s="1" t="s">
        <v>16</v>
      </c>
      <c r="D459" s="1" t="s">
        <v>42</v>
      </c>
      <c r="E459" s="1" t="s">
        <v>42</v>
      </c>
      <c r="F459" s="1" t="s">
        <v>1050</v>
      </c>
      <c r="G459" s="1" t="b">
        <v>0</v>
      </c>
      <c r="H459" s="1" t="s">
        <v>29</v>
      </c>
      <c r="I459" s="1" t="s">
        <v>24</v>
      </c>
      <c r="J459" s="1" t="b">
        <v>1</v>
      </c>
      <c r="K459" s="1" t="s">
        <v>1051</v>
      </c>
      <c r="L459" s="1" t="s">
        <v>20</v>
      </c>
      <c r="M459" s="3" t="str">
        <f t="shared" si="1"/>
        <v>✅ OK</v>
      </c>
      <c r="N459" s="3" t="str">
        <f t="shared" si="2"/>
        <v>OK</v>
      </c>
      <c r="O459" s="3" t="str">
        <f t="shared" si="3"/>
        <v>COMPLIANT</v>
      </c>
    </row>
    <row r="460">
      <c r="A460" s="1">
        <v>459.0</v>
      </c>
      <c r="B460" s="1" t="s">
        <v>110</v>
      </c>
      <c r="C460" s="1" t="s">
        <v>57</v>
      </c>
      <c r="D460" s="1" t="s">
        <v>438</v>
      </c>
      <c r="E460" s="1" t="s">
        <v>438</v>
      </c>
      <c r="F460" s="1" t="s">
        <v>1052</v>
      </c>
      <c r="G460" s="1" t="b">
        <v>0</v>
      </c>
      <c r="H460" s="1" t="s">
        <v>29</v>
      </c>
      <c r="I460" s="1" t="s">
        <v>17</v>
      </c>
      <c r="J460" s="1" t="b">
        <v>1</v>
      </c>
      <c r="K460" s="2">
        <v>45451.0</v>
      </c>
      <c r="L460" s="1" t="s">
        <v>31</v>
      </c>
      <c r="M460" s="3" t="str">
        <f t="shared" si="1"/>
        <v>✅ OK</v>
      </c>
      <c r="N460" s="3" t="str">
        <f t="shared" si="2"/>
        <v>OK</v>
      </c>
      <c r="O460" s="3" t="str">
        <f t="shared" si="3"/>
        <v>COMPLIANT</v>
      </c>
    </row>
    <row r="461">
      <c r="A461" s="1">
        <v>460.0</v>
      </c>
      <c r="B461" s="1" t="s">
        <v>530</v>
      </c>
      <c r="C461" s="1" t="s">
        <v>26</v>
      </c>
      <c r="D461" s="1" t="s">
        <v>151</v>
      </c>
      <c r="E461" s="1" t="s">
        <v>151</v>
      </c>
      <c r="F461" s="1" t="s">
        <v>1053</v>
      </c>
      <c r="G461" s="1" t="b">
        <v>0</v>
      </c>
      <c r="H461" s="1" t="s">
        <v>44</v>
      </c>
      <c r="I461" s="1" t="s">
        <v>17</v>
      </c>
      <c r="J461" s="1" t="b">
        <v>1</v>
      </c>
      <c r="K461" s="1" t="s">
        <v>85</v>
      </c>
      <c r="L461" s="1" t="s">
        <v>31</v>
      </c>
      <c r="M461" s="3" t="str">
        <f t="shared" si="1"/>
        <v>✅ OK</v>
      </c>
      <c r="N461" s="3" t="str">
        <f t="shared" si="2"/>
        <v>OK</v>
      </c>
      <c r="O461" s="3" t="str">
        <f t="shared" si="3"/>
        <v>COMPLIANT</v>
      </c>
    </row>
    <row r="462">
      <c r="A462" s="1">
        <v>461.0</v>
      </c>
      <c r="B462" s="1" t="s">
        <v>629</v>
      </c>
      <c r="C462" s="1" t="s">
        <v>26</v>
      </c>
      <c r="D462" s="1" t="s">
        <v>126</v>
      </c>
      <c r="E462" s="1" t="s">
        <v>126</v>
      </c>
      <c r="F462" s="1" t="s">
        <v>1054</v>
      </c>
      <c r="G462" s="1" t="b">
        <v>0</v>
      </c>
      <c r="H462" s="1" t="s">
        <v>29</v>
      </c>
      <c r="I462" s="1" t="s">
        <v>17</v>
      </c>
      <c r="J462" s="1" t="b">
        <v>1</v>
      </c>
      <c r="K462" s="1" t="s">
        <v>864</v>
      </c>
      <c r="L462" s="1" t="s">
        <v>31</v>
      </c>
      <c r="M462" s="3" t="str">
        <f t="shared" si="1"/>
        <v>✅ OK</v>
      </c>
      <c r="N462" s="3" t="str">
        <f t="shared" si="2"/>
        <v>OK</v>
      </c>
      <c r="O462" s="3" t="str">
        <f t="shared" si="3"/>
        <v>COMPLIANT</v>
      </c>
    </row>
    <row r="463">
      <c r="A463" s="1">
        <v>462.0</v>
      </c>
      <c r="B463" s="1" t="s">
        <v>167</v>
      </c>
      <c r="C463" s="1" t="s">
        <v>47</v>
      </c>
      <c r="D463" s="1" t="s">
        <v>66</v>
      </c>
      <c r="E463" s="1" t="s">
        <v>66</v>
      </c>
      <c r="F463" s="1" t="s">
        <v>1055</v>
      </c>
      <c r="G463" s="1" t="b">
        <v>0</v>
      </c>
      <c r="H463" s="1" t="s">
        <v>29</v>
      </c>
      <c r="I463" s="1" t="s">
        <v>35</v>
      </c>
      <c r="J463" s="1" t="b">
        <v>1</v>
      </c>
      <c r="K463" s="1" t="s">
        <v>558</v>
      </c>
      <c r="L463" s="1" t="s">
        <v>20</v>
      </c>
      <c r="M463" s="3" t="str">
        <f t="shared" si="1"/>
        <v>✅ OK</v>
      </c>
      <c r="N463" s="3" t="str">
        <f t="shared" si="2"/>
        <v>OK</v>
      </c>
      <c r="O463" s="3" t="str">
        <f t="shared" si="3"/>
        <v>COMPLIANT</v>
      </c>
    </row>
    <row r="464">
      <c r="A464" s="1">
        <v>463.0</v>
      </c>
      <c r="B464" s="1" t="s">
        <v>68</v>
      </c>
      <c r="C464" s="1" t="s">
        <v>57</v>
      </c>
      <c r="D464" s="1" t="s">
        <v>42</v>
      </c>
      <c r="E464" s="1" t="s">
        <v>42</v>
      </c>
      <c r="F464" s="1" t="s">
        <v>1056</v>
      </c>
      <c r="G464" s="1" t="b">
        <v>1</v>
      </c>
      <c r="H464" s="1" t="s">
        <v>44</v>
      </c>
      <c r="I464" s="1" t="s">
        <v>24</v>
      </c>
      <c r="J464" s="1" t="b">
        <v>1</v>
      </c>
      <c r="K464" s="1" t="s">
        <v>1057</v>
      </c>
      <c r="L464" s="1" t="s">
        <v>20</v>
      </c>
      <c r="M464" s="3" t="str">
        <f t="shared" si="1"/>
        <v>✅ OK</v>
      </c>
      <c r="N464" s="3" t="str">
        <f t="shared" si="2"/>
        <v>OK</v>
      </c>
      <c r="O464" s="3" t="str">
        <f t="shared" si="3"/>
        <v>COMPLIANT</v>
      </c>
    </row>
    <row r="465">
      <c r="A465" s="1">
        <v>464.0</v>
      </c>
      <c r="B465" s="1" t="s">
        <v>909</v>
      </c>
      <c r="C465" s="1" t="s">
        <v>47</v>
      </c>
      <c r="D465" s="1" t="s">
        <v>79</v>
      </c>
      <c r="E465" s="1" t="s">
        <v>79</v>
      </c>
      <c r="F465" s="1" t="s">
        <v>1058</v>
      </c>
      <c r="G465" s="1" t="b">
        <v>0</v>
      </c>
      <c r="H465" s="1" t="s">
        <v>29</v>
      </c>
      <c r="I465" s="1" t="s">
        <v>17</v>
      </c>
      <c r="J465" s="1" t="b">
        <v>0</v>
      </c>
      <c r="K465" s="2">
        <v>45967.0</v>
      </c>
      <c r="L465" s="1" t="s">
        <v>20</v>
      </c>
      <c r="M465" s="3" t="str">
        <f t="shared" si="1"/>
        <v>✅ OK</v>
      </c>
      <c r="N465" s="3" t="str">
        <f t="shared" si="2"/>
        <v>OK</v>
      </c>
      <c r="O465" s="3" t="str">
        <f t="shared" si="3"/>
        <v>COMPLIANT</v>
      </c>
    </row>
    <row r="466">
      <c r="A466" s="1">
        <v>465.0</v>
      </c>
      <c r="B466" s="1" t="s">
        <v>140</v>
      </c>
      <c r="C466" s="1" t="s">
        <v>26</v>
      </c>
      <c r="D466" s="1" t="s">
        <v>42</v>
      </c>
      <c r="E466" s="1" t="s">
        <v>42</v>
      </c>
      <c r="F466" s="1" t="s">
        <v>1059</v>
      </c>
      <c r="G466" s="1" t="b">
        <v>0</v>
      </c>
      <c r="H466" s="1" t="s">
        <v>29</v>
      </c>
      <c r="I466" s="1" t="s">
        <v>35</v>
      </c>
      <c r="J466" s="1" t="b">
        <v>1</v>
      </c>
      <c r="K466" s="2">
        <v>45086.0</v>
      </c>
      <c r="L466" s="1" t="s">
        <v>20</v>
      </c>
      <c r="M466" s="3" t="str">
        <f t="shared" si="1"/>
        <v>✅ OK</v>
      </c>
      <c r="N466" s="3" t="str">
        <f t="shared" si="2"/>
        <v>OK</v>
      </c>
      <c r="O466" s="3" t="str">
        <f t="shared" si="3"/>
        <v>COMPLIANT</v>
      </c>
    </row>
    <row r="467">
      <c r="A467" s="1">
        <v>466.0</v>
      </c>
      <c r="B467" s="1" t="s">
        <v>414</v>
      </c>
      <c r="C467" s="1" t="s">
        <v>47</v>
      </c>
      <c r="D467" s="1" t="s">
        <v>22</v>
      </c>
      <c r="E467" s="1" t="s">
        <v>22</v>
      </c>
      <c r="F467" s="1" t="s">
        <v>1060</v>
      </c>
      <c r="G467" s="1" t="b">
        <v>0</v>
      </c>
      <c r="H467" s="1" t="s">
        <v>44</v>
      </c>
      <c r="I467" s="1" t="s">
        <v>35</v>
      </c>
      <c r="J467" s="1" t="b">
        <v>1</v>
      </c>
      <c r="K467" s="1" t="s">
        <v>1061</v>
      </c>
      <c r="L467" s="1" t="s">
        <v>20</v>
      </c>
      <c r="M467" s="3" t="str">
        <f t="shared" si="1"/>
        <v>✅ OK</v>
      </c>
      <c r="N467" s="3" t="str">
        <f t="shared" si="2"/>
        <v>OK</v>
      </c>
      <c r="O467" s="3" t="str">
        <f t="shared" si="3"/>
        <v>COMPLIANT</v>
      </c>
    </row>
    <row r="468">
      <c r="A468" s="1">
        <v>467.0</v>
      </c>
      <c r="B468" s="1" t="s">
        <v>215</v>
      </c>
      <c r="C468" s="1" t="s">
        <v>26</v>
      </c>
      <c r="D468" s="1" t="s">
        <v>74</v>
      </c>
      <c r="E468" s="1" t="s">
        <v>74</v>
      </c>
      <c r="F468" s="1" t="s">
        <v>1062</v>
      </c>
      <c r="G468" s="1" t="b">
        <v>1</v>
      </c>
      <c r="H468" s="1" t="s">
        <v>44</v>
      </c>
      <c r="I468" s="1" t="s">
        <v>24</v>
      </c>
      <c r="J468" s="1" t="b">
        <v>0</v>
      </c>
      <c r="K468" s="1" t="s">
        <v>1063</v>
      </c>
      <c r="L468" s="1" t="s">
        <v>20</v>
      </c>
      <c r="M468" s="3" t="str">
        <f t="shared" si="1"/>
        <v>✅ OK</v>
      </c>
      <c r="N468" s="3" t="str">
        <f t="shared" si="2"/>
        <v>OK</v>
      </c>
      <c r="O468" s="3" t="str">
        <f t="shared" si="3"/>
        <v>COMPLIANT</v>
      </c>
    </row>
    <row r="469">
      <c r="A469" s="1">
        <v>468.0</v>
      </c>
      <c r="B469" s="1" t="s">
        <v>96</v>
      </c>
      <c r="C469" s="1" t="s">
        <v>16</v>
      </c>
      <c r="D469" s="1" t="s">
        <v>74</v>
      </c>
      <c r="E469" s="1" t="s">
        <v>74</v>
      </c>
      <c r="F469" s="1" t="s">
        <v>1064</v>
      </c>
      <c r="G469" s="1" t="b">
        <v>0</v>
      </c>
      <c r="H469" s="1" t="s">
        <v>29</v>
      </c>
      <c r="I469" s="1" t="s">
        <v>24</v>
      </c>
      <c r="J469" s="1" t="b">
        <v>0</v>
      </c>
      <c r="K469" s="1" t="s">
        <v>279</v>
      </c>
      <c r="L469" s="1" t="s">
        <v>20</v>
      </c>
      <c r="M469" s="3" t="str">
        <f t="shared" si="1"/>
        <v>✅ OK</v>
      </c>
      <c r="N469" s="3" t="str">
        <f t="shared" si="2"/>
        <v>OK</v>
      </c>
      <c r="O469" s="3" t="str">
        <f t="shared" si="3"/>
        <v>COMPLIANT</v>
      </c>
    </row>
    <row r="470">
      <c r="A470" s="1">
        <v>469.0</v>
      </c>
      <c r="B470" s="1" t="s">
        <v>437</v>
      </c>
      <c r="C470" s="1" t="s">
        <v>57</v>
      </c>
      <c r="D470" s="1" t="s">
        <v>74</v>
      </c>
      <c r="E470" s="1" t="s">
        <v>74</v>
      </c>
      <c r="F470" s="1" t="s">
        <v>1065</v>
      </c>
      <c r="G470" s="1" t="b">
        <v>0</v>
      </c>
      <c r="H470" s="1" t="s">
        <v>44</v>
      </c>
      <c r="I470" s="1" t="s">
        <v>17</v>
      </c>
      <c r="J470" s="1" t="b">
        <v>0</v>
      </c>
      <c r="K470" s="2">
        <v>45023.0</v>
      </c>
      <c r="L470" s="1" t="s">
        <v>20</v>
      </c>
      <c r="M470" s="3" t="str">
        <f t="shared" si="1"/>
        <v>✅ OK</v>
      </c>
      <c r="N470" s="3" t="str">
        <f t="shared" si="2"/>
        <v>OK</v>
      </c>
      <c r="O470" s="3" t="str">
        <f t="shared" si="3"/>
        <v>COMPLIANT</v>
      </c>
    </row>
    <row r="471">
      <c r="A471" s="1">
        <v>470.0</v>
      </c>
      <c r="B471" s="1" t="s">
        <v>1066</v>
      </c>
      <c r="C471" s="1" t="s">
        <v>26</v>
      </c>
      <c r="D471" s="1" t="s">
        <v>79</v>
      </c>
      <c r="E471" s="1" t="s">
        <v>79</v>
      </c>
      <c r="F471" s="1" t="s">
        <v>1067</v>
      </c>
      <c r="G471" s="1" t="b">
        <v>1</v>
      </c>
      <c r="H471" s="1" t="s">
        <v>29</v>
      </c>
      <c r="I471" s="1" t="s">
        <v>35</v>
      </c>
      <c r="J471" s="1" t="b">
        <v>1</v>
      </c>
      <c r="K471" s="2">
        <v>45752.0</v>
      </c>
      <c r="L471" s="1" t="s">
        <v>31</v>
      </c>
      <c r="M471" s="3" t="str">
        <f t="shared" si="1"/>
        <v>✅ OK</v>
      </c>
      <c r="N471" s="3" t="str">
        <f t="shared" si="2"/>
        <v>OK</v>
      </c>
      <c r="O471" s="3" t="str">
        <f t="shared" si="3"/>
        <v>COMPLIANT</v>
      </c>
    </row>
    <row r="472">
      <c r="A472" s="1">
        <v>471.0</v>
      </c>
      <c r="B472" s="1" t="s">
        <v>563</v>
      </c>
      <c r="C472" s="1" t="s">
        <v>41</v>
      </c>
      <c r="D472" s="1" t="s">
        <v>42</v>
      </c>
      <c r="E472" s="1" t="s">
        <v>42</v>
      </c>
      <c r="F472" s="1" t="s">
        <v>1068</v>
      </c>
      <c r="G472" s="1" t="b">
        <v>0</v>
      </c>
      <c r="H472" s="1" t="s">
        <v>29</v>
      </c>
      <c r="I472" s="1" t="s">
        <v>17</v>
      </c>
      <c r="J472" s="1" t="b">
        <v>0</v>
      </c>
      <c r="K472" s="2">
        <v>45638.0</v>
      </c>
      <c r="L472" s="1" t="s">
        <v>20</v>
      </c>
      <c r="M472" s="3" t="str">
        <f t="shared" si="1"/>
        <v>✅ OK</v>
      </c>
      <c r="N472" s="3" t="str">
        <f t="shared" si="2"/>
        <v>OK</v>
      </c>
      <c r="O472" s="3" t="str">
        <f t="shared" si="3"/>
        <v>COMPLIANT</v>
      </c>
    </row>
    <row r="473">
      <c r="A473" s="1">
        <v>472.0</v>
      </c>
      <c r="B473" s="1" t="s">
        <v>1069</v>
      </c>
      <c r="C473" s="1" t="s">
        <v>47</v>
      </c>
      <c r="D473" s="1" t="s">
        <v>168</v>
      </c>
      <c r="E473" s="1" t="s">
        <v>168</v>
      </c>
      <c r="F473" s="1" t="s">
        <v>1070</v>
      </c>
      <c r="G473" s="1" t="b">
        <v>0</v>
      </c>
      <c r="H473" s="1" t="s">
        <v>29</v>
      </c>
      <c r="I473" s="1" t="s">
        <v>17</v>
      </c>
      <c r="J473" s="1" t="b">
        <v>0</v>
      </c>
      <c r="K473" s="1" t="s">
        <v>1071</v>
      </c>
      <c r="L473" s="1" t="s">
        <v>20</v>
      </c>
      <c r="M473" s="3" t="str">
        <f t="shared" si="1"/>
        <v>✅ OK</v>
      </c>
      <c r="N473" s="3" t="str">
        <f t="shared" si="2"/>
        <v>OK</v>
      </c>
      <c r="O473" s="3" t="str">
        <f t="shared" si="3"/>
        <v>COMPLIANT</v>
      </c>
    </row>
    <row r="474">
      <c r="A474" s="1">
        <v>473.0</v>
      </c>
      <c r="B474" s="1" t="s">
        <v>1072</v>
      </c>
      <c r="C474" s="1" t="s">
        <v>47</v>
      </c>
      <c r="D474" s="1" t="s">
        <v>680</v>
      </c>
      <c r="E474" s="1" t="s">
        <v>680</v>
      </c>
      <c r="F474" s="1" t="s">
        <v>1073</v>
      </c>
      <c r="G474" s="1" t="b">
        <v>1</v>
      </c>
      <c r="H474" s="1" t="s">
        <v>44</v>
      </c>
      <c r="I474" s="1" t="s">
        <v>17</v>
      </c>
      <c r="J474" s="1" t="b">
        <v>1</v>
      </c>
      <c r="K474" s="1" t="s">
        <v>984</v>
      </c>
      <c r="L474" s="1" t="s">
        <v>31</v>
      </c>
      <c r="M474" s="3" t="str">
        <f t="shared" si="1"/>
        <v>✅ OK</v>
      </c>
      <c r="N474" s="3" t="str">
        <f t="shared" si="2"/>
        <v>OK</v>
      </c>
      <c r="O474" s="3" t="str">
        <f t="shared" si="3"/>
        <v>COMPLIANT</v>
      </c>
    </row>
    <row r="475">
      <c r="A475" s="1">
        <v>474.0</v>
      </c>
      <c r="B475" s="1" t="s">
        <v>459</v>
      </c>
      <c r="C475" s="1" t="s">
        <v>41</v>
      </c>
      <c r="D475" s="1" t="s">
        <v>670</v>
      </c>
      <c r="E475" s="1" t="s">
        <v>670</v>
      </c>
      <c r="F475" s="1" t="s">
        <v>1074</v>
      </c>
      <c r="G475" s="1" t="b">
        <v>1</v>
      </c>
      <c r="H475" s="1" t="s">
        <v>29</v>
      </c>
      <c r="I475" s="1" t="s">
        <v>35</v>
      </c>
      <c r="J475" s="1" t="b">
        <v>1</v>
      </c>
      <c r="K475" s="1" t="s">
        <v>1075</v>
      </c>
      <c r="L475" s="1" t="s">
        <v>20</v>
      </c>
      <c r="M475" s="3" t="str">
        <f t="shared" si="1"/>
        <v>✅ OK</v>
      </c>
      <c r="N475" s="3" t="str">
        <f t="shared" si="2"/>
        <v>OK</v>
      </c>
      <c r="O475" s="3" t="str">
        <f t="shared" si="3"/>
        <v>COMPLIANT</v>
      </c>
    </row>
    <row r="476">
      <c r="A476" s="1">
        <v>475.0</v>
      </c>
      <c r="B476" s="1" t="s">
        <v>1076</v>
      </c>
      <c r="C476" s="1" t="s">
        <v>16</v>
      </c>
      <c r="D476" s="1" t="s">
        <v>79</v>
      </c>
      <c r="E476" s="1" t="s">
        <v>79</v>
      </c>
      <c r="F476" s="1" t="s">
        <v>1077</v>
      </c>
      <c r="G476" s="1" t="b">
        <v>1</v>
      </c>
      <c r="H476" s="1" t="s">
        <v>29</v>
      </c>
      <c r="I476" s="1" t="s">
        <v>24</v>
      </c>
      <c r="J476" s="1" t="b">
        <v>1</v>
      </c>
      <c r="K476" s="1" t="s">
        <v>1078</v>
      </c>
      <c r="L476" s="1" t="s">
        <v>20</v>
      </c>
      <c r="M476" s="3" t="str">
        <f t="shared" si="1"/>
        <v>✅ OK</v>
      </c>
      <c r="N476" s="3" t="str">
        <f t="shared" si="2"/>
        <v>OK</v>
      </c>
      <c r="O476" s="3" t="str">
        <f t="shared" si="3"/>
        <v>COMPLIANT</v>
      </c>
    </row>
    <row r="477">
      <c r="A477" s="1">
        <v>476.0</v>
      </c>
      <c r="B477" s="1" t="s">
        <v>93</v>
      </c>
      <c r="C477" s="1" t="s">
        <v>26</v>
      </c>
      <c r="D477" s="1" t="s">
        <v>312</v>
      </c>
      <c r="E477" s="1" t="s">
        <v>312</v>
      </c>
      <c r="F477" s="1" t="s">
        <v>1079</v>
      </c>
      <c r="G477" s="1" t="b">
        <v>1</v>
      </c>
      <c r="H477" s="1" t="s">
        <v>44</v>
      </c>
      <c r="I477" s="1" t="s">
        <v>24</v>
      </c>
      <c r="J477" s="1" t="b">
        <v>0</v>
      </c>
      <c r="K477" s="1" t="s">
        <v>1080</v>
      </c>
      <c r="L477" s="1" t="s">
        <v>31</v>
      </c>
      <c r="M477" s="3" t="str">
        <f t="shared" si="1"/>
        <v>✅ OK</v>
      </c>
      <c r="N477" s="3" t="str">
        <f t="shared" si="2"/>
        <v>OK</v>
      </c>
      <c r="O477" s="3" t="str">
        <f t="shared" si="3"/>
        <v>COMPLIANT</v>
      </c>
    </row>
    <row r="478">
      <c r="A478" s="1">
        <v>477.0</v>
      </c>
      <c r="B478" s="1" t="s">
        <v>396</v>
      </c>
      <c r="C478" s="1" t="s">
        <v>41</v>
      </c>
      <c r="D478" s="1" t="s">
        <v>101</v>
      </c>
      <c r="E478" s="1" t="s">
        <v>101</v>
      </c>
      <c r="F478" s="1" t="s">
        <v>1081</v>
      </c>
      <c r="G478" s="1" t="b">
        <v>1</v>
      </c>
      <c r="H478" s="1" t="s">
        <v>44</v>
      </c>
      <c r="I478" s="1" t="s">
        <v>24</v>
      </c>
      <c r="J478" s="1" t="b">
        <v>0</v>
      </c>
      <c r="K478" s="1" t="s">
        <v>739</v>
      </c>
      <c r="L478" s="1" t="s">
        <v>31</v>
      </c>
      <c r="M478" s="3" t="str">
        <f t="shared" si="1"/>
        <v>✅ OK</v>
      </c>
      <c r="N478" s="3" t="str">
        <f t="shared" si="2"/>
        <v>OK</v>
      </c>
      <c r="O478" s="3" t="str">
        <f t="shared" si="3"/>
        <v>COMPLIANT</v>
      </c>
    </row>
    <row r="479">
      <c r="A479" s="1">
        <v>478.0</v>
      </c>
      <c r="B479" s="1" t="s">
        <v>621</v>
      </c>
      <c r="C479" s="1" t="s">
        <v>41</v>
      </c>
      <c r="D479" s="1" t="s">
        <v>197</v>
      </c>
      <c r="E479" s="1" t="s">
        <v>197</v>
      </c>
      <c r="F479" s="1" t="s">
        <v>1082</v>
      </c>
      <c r="G479" s="1" t="b">
        <v>1</v>
      </c>
      <c r="H479" s="1" t="s">
        <v>29</v>
      </c>
      <c r="I479" s="1" t="s">
        <v>24</v>
      </c>
      <c r="J479" s="1" t="b">
        <v>0</v>
      </c>
      <c r="K479" s="2">
        <v>45088.0</v>
      </c>
      <c r="L479" s="1" t="s">
        <v>20</v>
      </c>
      <c r="M479" s="3" t="str">
        <f t="shared" si="1"/>
        <v>✅ OK</v>
      </c>
      <c r="N479" s="3" t="str">
        <f t="shared" si="2"/>
        <v>OK</v>
      </c>
      <c r="O479" s="3" t="str">
        <f t="shared" si="3"/>
        <v>COMPLIANT</v>
      </c>
    </row>
    <row r="480">
      <c r="A480" s="1">
        <v>479.0</v>
      </c>
      <c r="B480" s="1" t="s">
        <v>307</v>
      </c>
      <c r="C480" s="1" t="s">
        <v>57</v>
      </c>
      <c r="D480" s="1" t="s">
        <v>79</v>
      </c>
      <c r="E480" s="1" t="s">
        <v>79</v>
      </c>
      <c r="F480" s="1" t="s">
        <v>1083</v>
      </c>
      <c r="G480" s="1" t="b">
        <v>1</v>
      </c>
      <c r="H480" s="1" t="s">
        <v>44</v>
      </c>
      <c r="I480" s="1" t="s">
        <v>17</v>
      </c>
      <c r="J480" s="1" t="b">
        <v>1</v>
      </c>
      <c r="K480" s="1" t="s">
        <v>1084</v>
      </c>
      <c r="L480" s="1" t="s">
        <v>20</v>
      </c>
      <c r="M480" s="3" t="str">
        <f t="shared" si="1"/>
        <v>✅ OK</v>
      </c>
      <c r="N480" s="3" t="str">
        <f t="shared" si="2"/>
        <v>OK</v>
      </c>
      <c r="O480" s="3" t="str">
        <f t="shared" si="3"/>
        <v>COMPLIANT</v>
      </c>
    </row>
    <row r="481">
      <c r="A481" s="1">
        <v>480.0</v>
      </c>
      <c r="B481" s="1" t="s">
        <v>1085</v>
      </c>
      <c r="C481" s="1" t="s">
        <v>16</v>
      </c>
      <c r="D481" s="1" t="s">
        <v>813</v>
      </c>
      <c r="E481" s="1" t="s">
        <v>813</v>
      </c>
      <c r="F481" s="1" t="s">
        <v>1086</v>
      </c>
      <c r="G481" s="1" t="b">
        <v>0</v>
      </c>
      <c r="H481" s="1" t="s">
        <v>44</v>
      </c>
      <c r="I481" s="1" t="s">
        <v>17</v>
      </c>
      <c r="J481" s="1" t="b">
        <v>0</v>
      </c>
      <c r="K481" s="2">
        <v>45211.0</v>
      </c>
      <c r="L481" s="1" t="s">
        <v>20</v>
      </c>
      <c r="M481" s="3" t="str">
        <f t="shared" si="1"/>
        <v>✅ OK</v>
      </c>
      <c r="N481" s="3" t="str">
        <f t="shared" si="2"/>
        <v>OK</v>
      </c>
      <c r="O481" s="3" t="str">
        <f t="shared" si="3"/>
        <v>COMPLIANT</v>
      </c>
    </row>
    <row r="482">
      <c r="A482" s="1">
        <v>481.0</v>
      </c>
      <c r="B482" s="1" t="s">
        <v>337</v>
      </c>
      <c r="C482" s="1" t="s">
        <v>41</v>
      </c>
      <c r="D482" s="1" t="s">
        <v>173</v>
      </c>
      <c r="E482" s="1" t="s">
        <v>173</v>
      </c>
      <c r="F482" s="1" t="s">
        <v>1087</v>
      </c>
      <c r="G482" s="1" t="b">
        <v>1</v>
      </c>
      <c r="H482" s="1" t="s">
        <v>44</v>
      </c>
      <c r="I482" s="1" t="s">
        <v>35</v>
      </c>
      <c r="J482" s="1" t="b">
        <v>0</v>
      </c>
      <c r="K482" s="1" t="s">
        <v>1088</v>
      </c>
      <c r="L482" s="1" t="s">
        <v>31</v>
      </c>
      <c r="M482" s="3" t="str">
        <f t="shared" si="1"/>
        <v>✅ OK</v>
      </c>
      <c r="N482" s="3" t="str">
        <f t="shared" si="2"/>
        <v>OK</v>
      </c>
      <c r="O482" s="3" t="str">
        <f t="shared" si="3"/>
        <v>COMPLIANT</v>
      </c>
    </row>
    <row r="483">
      <c r="A483" s="1">
        <v>482.0</v>
      </c>
      <c r="B483" s="1" t="s">
        <v>320</v>
      </c>
      <c r="C483" s="1" t="s">
        <v>47</v>
      </c>
      <c r="D483" s="1" t="s">
        <v>348</v>
      </c>
      <c r="E483" s="1" t="s">
        <v>348</v>
      </c>
      <c r="F483" s="1" t="s">
        <v>1089</v>
      </c>
      <c r="G483" s="1" t="b">
        <v>0</v>
      </c>
      <c r="H483" s="1" t="s">
        <v>44</v>
      </c>
      <c r="I483" s="1" t="s">
        <v>35</v>
      </c>
      <c r="J483" s="1" t="b">
        <v>0</v>
      </c>
      <c r="K483" s="1" t="s">
        <v>1090</v>
      </c>
      <c r="L483" s="1" t="s">
        <v>31</v>
      </c>
      <c r="M483" s="3" t="str">
        <f t="shared" si="1"/>
        <v>✅ OK</v>
      </c>
      <c r="N483" s="3" t="str">
        <f t="shared" si="2"/>
        <v>OK</v>
      </c>
      <c r="O483" s="3" t="str">
        <f t="shared" si="3"/>
        <v>COMPLIANT</v>
      </c>
    </row>
    <row r="484">
      <c r="A484" s="1">
        <v>483.0</v>
      </c>
      <c r="B484" s="1" t="s">
        <v>1091</v>
      </c>
      <c r="C484" s="1" t="s">
        <v>16</v>
      </c>
      <c r="D484" s="1" t="s">
        <v>42</v>
      </c>
      <c r="E484" s="1" t="s">
        <v>42</v>
      </c>
      <c r="F484" s="1" t="s">
        <v>1092</v>
      </c>
      <c r="G484" s="1" t="b">
        <v>1</v>
      </c>
      <c r="H484" s="1" t="s">
        <v>29</v>
      </c>
      <c r="I484" s="1" t="s">
        <v>17</v>
      </c>
      <c r="J484" s="1" t="b">
        <v>1</v>
      </c>
      <c r="K484" s="1" t="s">
        <v>619</v>
      </c>
      <c r="L484" s="1" t="s">
        <v>20</v>
      </c>
      <c r="M484" s="3" t="str">
        <f t="shared" si="1"/>
        <v>✅ OK</v>
      </c>
      <c r="N484" s="3" t="str">
        <f t="shared" si="2"/>
        <v>OK</v>
      </c>
      <c r="O484" s="3" t="str">
        <f t="shared" si="3"/>
        <v>COMPLIANT</v>
      </c>
    </row>
    <row r="485">
      <c r="A485" s="1">
        <v>484.0</v>
      </c>
      <c r="B485" s="1" t="s">
        <v>641</v>
      </c>
      <c r="C485" s="1" t="s">
        <v>57</v>
      </c>
      <c r="D485" s="1" t="s">
        <v>173</v>
      </c>
      <c r="E485" s="1" t="s">
        <v>173</v>
      </c>
      <c r="F485" s="1" t="s">
        <v>1093</v>
      </c>
      <c r="G485" s="1" t="b">
        <v>1</v>
      </c>
      <c r="H485" s="1" t="s">
        <v>29</v>
      </c>
      <c r="I485" s="1" t="s">
        <v>35</v>
      </c>
      <c r="J485" s="1" t="b">
        <v>1</v>
      </c>
      <c r="K485" s="1" t="s">
        <v>1094</v>
      </c>
      <c r="L485" s="1" t="s">
        <v>31</v>
      </c>
      <c r="M485" s="3" t="str">
        <f t="shared" si="1"/>
        <v>✅ OK</v>
      </c>
      <c r="N485" s="3" t="str">
        <f t="shared" si="2"/>
        <v>OK</v>
      </c>
      <c r="O485" s="3" t="str">
        <f t="shared" si="3"/>
        <v>COMPLIANT</v>
      </c>
    </row>
    <row r="486">
      <c r="A486" s="1">
        <v>485.0</v>
      </c>
      <c r="B486" s="1" t="s">
        <v>707</v>
      </c>
      <c r="C486" s="1" t="s">
        <v>41</v>
      </c>
      <c r="D486" s="1" t="s">
        <v>280</v>
      </c>
      <c r="E486" s="1" t="s">
        <v>280</v>
      </c>
      <c r="F486" s="1" t="s">
        <v>1095</v>
      </c>
      <c r="G486" s="1" t="b">
        <v>0</v>
      </c>
      <c r="H486" s="1" t="s">
        <v>29</v>
      </c>
      <c r="I486" s="1" t="s">
        <v>35</v>
      </c>
      <c r="J486" s="1" t="b">
        <v>1</v>
      </c>
      <c r="K486" s="1" t="s">
        <v>1096</v>
      </c>
      <c r="L486" s="1" t="s">
        <v>20</v>
      </c>
      <c r="M486" s="3" t="str">
        <f t="shared" si="1"/>
        <v>✅ OK</v>
      </c>
      <c r="N486" s="3" t="str">
        <f t="shared" si="2"/>
        <v>OK</v>
      </c>
      <c r="O486" s="3" t="str">
        <f t="shared" si="3"/>
        <v>COMPLIANT</v>
      </c>
    </row>
    <row r="487">
      <c r="A487" s="1">
        <v>486.0</v>
      </c>
      <c r="B487" s="1" t="s">
        <v>213</v>
      </c>
      <c r="C487" s="1" t="s">
        <v>16</v>
      </c>
      <c r="D487" s="1" t="s">
        <v>22</v>
      </c>
      <c r="E487" s="1" t="s">
        <v>22</v>
      </c>
      <c r="F487" s="1" t="s">
        <v>1097</v>
      </c>
      <c r="G487" s="1" t="b">
        <v>0</v>
      </c>
      <c r="H487" s="1" t="s">
        <v>29</v>
      </c>
      <c r="I487" s="1" t="s">
        <v>35</v>
      </c>
      <c r="J487" s="1" t="b">
        <v>1</v>
      </c>
      <c r="K487" s="1" t="s">
        <v>1098</v>
      </c>
      <c r="L487" s="1" t="s">
        <v>31</v>
      </c>
      <c r="M487" s="3" t="str">
        <f t="shared" si="1"/>
        <v>✅ OK</v>
      </c>
      <c r="N487" s="3" t="str">
        <f t="shared" si="2"/>
        <v>OK</v>
      </c>
      <c r="O487" s="3" t="str">
        <f t="shared" si="3"/>
        <v>COMPLIANT</v>
      </c>
    </row>
    <row r="488">
      <c r="A488" s="1">
        <v>487.0</v>
      </c>
      <c r="B488" s="1" t="s">
        <v>1099</v>
      </c>
      <c r="C488" s="1" t="s">
        <v>26</v>
      </c>
      <c r="D488" s="1" t="s">
        <v>33</v>
      </c>
      <c r="E488" s="1" t="s">
        <v>33</v>
      </c>
      <c r="F488" s="1" t="s">
        <v>1100</v>
      </c>
      <c r="G488" s="1" t="b">
        <v>1</v>
      </c>
      <c r="H488" s="1" t="s">
        <v>44</v>
      </c>
      <c r="I488" s="1" t="s">
        <v>17</v>
      </c>
      <c r="J488" s="1" t="b">
        <v>0</v>
      </c>
      <c r="K488" s="1" t="s">
        <v>869</v>
      </c>
      <c r="L488" s="1" t="s">
        <v>20</v>
      </c>
      <c r="M488" s="3" t="str">
        <f t="shared" si="1"/>
        <v>✅ OK</v>
      </c>
      <c r="N488" s="3" t="str">
        <f t="shared" si="2"/>
        <v>OK</v>
      </c>
      <c r="O488" s="3" t="str">
        <f t="shared" si="3"/>
        <v>COMPLIANT</v>
      </c>
    </row>
    <row r="489">
      <c r="A489" s="1">
        <v>488.0</v>
      </c>
      <c r="B489" s="1" t="s">
        <v>957</v>
      </c>
      <c r="C489" s="1" t="s">
        <v>47</v>
      </c>
      <c r="D489" s="1" t="s">
        <v>507</v>
      </c>
      <c r="E489" s="1" t="s">
        <v>507</v>
      </c>
      <c r="F489" s="1" t="s">
        <v>1101</v>
      </c>
      <c r="G489" s="1" t="b">
        <v>1</v>
      </c>
      <c r="H489" s="1" t="s">
        <v>29</v>
      </c>
      <c r="I489" s="1" t="s">
        <v>17</v>
      </c>
      <c r="J489" s="1" t="b">
        <v>1</v>
      </c>
      <c r="K489" s="1" t="s">
        <v>1102</v>
      </c>
      <c r="L489" s="1" t="s">
        <v>31</v>
      </c>
      <c r="M489" s="3" t="str">
        <f t="shared" si="1"/>
        <v>✅ OK</v>
      </c>
      <c r="N489" s="3" t="str">
        <f t="shared" si="2"/>
        <v>OK</v>
      </c>
      <c r="O489" s="3" t="str">
        <f t="shared" si="3"/>
        <v>COMPLIANT</v>
      </c>
    </row>
    <row r="490">
      <c r="A490" s="1">
        <v>489.0</v>
      </c>
      <c r="B490" s="1" t="s">
        <v>1103</v>
      </c>
      <c r="C490" s="1" t="s">
        <v>57</v>
      </c>
      <c r="D490" s="1" t="s">
        <v>42</v>
      </c>
      <c r="E490" s="1" t="s">
        <v>42</v>
      </c>
      <c r="F490" s="1" t="s">
        <v>1104</v>
      </c>
      <c r="G490" s="1" t="b">
        <v>0</v>
      </c>
      <c r="H490" s="1" t="s">
        <v>44</v>
      </c>
      <c r="I490" s="1" t="s">
        <v>17</v>
      </c>
      <c r="J490" s="1" t="b">
        <v>1</v>
      </c>
      <c r="K490" s="1" t="s">
        <v>1105</v>
      </c>
      <c r="L490" s="1" t="s">
        <v>31</v>
      </c>
      <c r="M490" s="3" t="str">
        <f t="shared" si="1"/>
        <v>✅ OK</v>
      </c>
      <c r="N490" s="3" t="str">
        <f t="shared" si="2"/>
        <v>OK</v>
      </c>
      <c r="O490" s="3" t="str">
        <f t="shared" si="3"/>
        <v>COMPLIANT</v>
      </c>
    </row>
    <row r="491">
      <c r="A491" s="1">
        <v>490.0</v>
      </c>
      <c r="B491" s="1" t="s">
        <v>881</v>
      </c>
      <c r="C491" s="1" t="s">
        <v>57</v>
      </c>
      <c r="D491" s="1" t="s">
        <v>42</v>
      </c>
      <c r="E491" s="1" t="s">
        <v>42</v>
      </c>
      <c r="F491" s="1" t="s">
        <v>1106</v>
      </c>
      <c r="G491" s="1" t="b">
        <v>0</v>
      </c>
      <c r="H491" s="1" t="s">
        <v>29</v>
      </c>
      <c r="I491" s="1" t="s">
        <v>17</v>
      </c>
      <c r="J491" s="1" t="b">
        <v>0</v>
      </c>
      <c r="K491" s="2">
        <v>45935.0</v>
      </c>
      <c r="L491" s="1" t="s">
        <v>31</v>
      </c>
      <c r="M491" s="3" t="str">
        <f t="shared" si="1"/>
        <v>✅ OK</v>
      </c>
      <c r="N491" s="3" t="str">
        <f t="shared" si="2"/>
        <v>OK</v>
      </c>
      <c r="O491" s="3" t="str">
        <f t="shared" si="3"/>
        <v>COMPLIANT</v>
      </c>
    </row>
    <row r="492">
      <c r="A492" s="1">
        <v>491.0</v>
      </c>
      <c r="B492" s="1" t="s">
        <v>311</v>
      </c>
      <c r="C492" s="1" t="s">
        <v>41</v>
      </c>
      <c r="D492" s="1" t="s">
        <v>1107</v>
      </c>
      <c r="E492" s="1" t="s">
        <v>1107</v>
      </c>
      <c r="F492" s="1" t="s">
        <v>1108</v>
      </c>
      <c r="G492" s="1" t="b">
        <v>0</v>
      </c>
      <c r="H492" s="1" t="s">
        <v>29</v>
      </c>
      <c r="I492" s="1" t="s">
        <v>17</v>
      </c>
      <c r="J492" s="1" t="b">
        <v>0</v>
      </c>
      <c r="K492" s="1" t="s">
        <v>1109</v>
      </c>
      <c r="L492" s="1" t="s">
        <v>31</v>
      </c>
      <c r="M492" s="3" t="str">
        <f t="shared" si="1"/>
        <v>✅ OK</v>
      </c>
      <c r="N492" s="3" t="str">
        <f t="shared" si="2"/>
        <v>OK</v>
      </c>
      <c r="O492" s="3" t="str">
        <f t="shared" si="3"/>
        <v>COMPLIANT</v>
      </c>
    </row>
    <row r="493">
      <c r="A493" s="1">
        <v>492.0</v>
      </c>
      <c r="B493" s="1" t="s">
        <v>560</v>
      </c>
      <c r="C493" s="1" t="s">
        <v>47</v>
      </c>
      <c r="D493" s="1" t="s">
        <v>101</v>
      </c>
      <c r="E493" s="1" t="s">
        <v>101</v>
      </c>
      <c r="F493" s="1" t="s">
        <v>1110</v>
      </c>
      <c r="G493" s="1" t="b">
        <v>1</v>
      </c>
      <c r="H493" s="1" t="s">
        <v>19</v>
      </c>
      <c r="I493" s="1" t="s">
        <v>17</v>
      </c>
      <c r="J493" s="1" t="b">
        <v>1</v>
      </c>
      <c r="K493" s="2">
        <v>45635.0</v>
      </c>
      <c r="L493" s="1" t="s">
        <v>31</v>
      </c>
      <c r="M493" s="3" t="str">
        <f t="shared" si="1"/>
        <v>✅ OK</v>
      </c>
      <c r="N493" s="3" t="str">
        <f t="shared" si="2"/>
        <v>OK</v>
      </c>
      <c r="O493" s="3" t="str">
        <f t="shared" si="3"/>
        <v>COMPLIANT</v>
      </c>
    </row>
    <row r="494">
      <c r="A494" s="1">
        <v>493.0</v>
      </c>
      <c r="B494" s="1" t="s">
        <v>842</v>
      </c>
      <c r="C494" s="1" t="s">
        <v>47</v>
      </c>
      <c r="D494" s="1" t="s">
        <v>17</v>
      </c>
      <c r="E494" s="1" t="s">
        <v>17</v>
      </c>
      <c r="F494" s="1" t="s">
        <v>1111</v>
      </c>
      <c r="G494" s="1" t="b">
        <v>1</v>
      </c>
      <c r="H494" s="1" t="s">
        <v>44</v>
      </c>
      <c r="I494" s="1" t="s">
        <v>24</v>
      </c>
      <c r="J494" s="1" t="b">
        <v>1</v>
      </c>
      <c r="K494" s="1" t="s">
        <v>1112</v>
      </c>
      <c r="L494" s="1" t="s">
        <v>31</v>
      </c>
      <c r="M494" s="3" t="str">
        <f t="shared" si="1"/>
        <v>✅ OK</v>
      </c>
      <c r="N494" s="3" t="str">
        <f t="shared" si="2"/>
        <v>OK</v>
      </c>
      <c r="O494" s="3" t="str">
        <f t="shared" si="3"/>
        <v>COMPLIANT</v>
      </c>
    </row>
    <row r="495">
      <c r="A495" s="1">
        <v>494.0</v>
      </c>
      <c r="B495" s="1" t="s">
        <v>73</v>
      </c>
      <c r="C495" s="1" t="s">
        <v>47</v>
      </c>
      <c r="D495" s="1" t="s">
        <v>680</v>
      </c>
      <c r="E495" s="1" t="s">
        <v>680</v>
      </c>
      <c r="F495" s="1" t="s">
        <v>1113</v>
      </c>
      <c r="G495" s="1" t="b">
        <v>1</v>
      </c>
      <c r="H495" s="1" t="s">
        <v>19</v>
      </c>
      <c r="I495" s="1" t="s">
        <v>35</v>
      </c>
      <c r="J495" s="1" t="b">
        <v>0</v>
      </c>
      <c r="K495" s="1" t="s">
        <v>1114</v>
      </c>
      <c r="L495" s="1" t="s">
        <v>31</v>
      </c>
      <c r="M495" s="3" t="str">
        <f t="shared" si="1"/>
        <v>✅ OK</v>
      </c>
      <c r="N495" s="3" t="str">
        <f t="shared" si="2"/>
        <v>OK</v>
      </c>
      <c r="O495" s="3" t="str">
        <f t="shared" si="3"/>
        <v>COMPLIANT</v>
      </c>
    </row>
    <row r="496">
      <c r="A496" s="1">
        <v>495.0</v>
      </c>
      <c r="B496" s="1" t="s">
        <v>1115</v>
      </c>
      <c r="C496" s="1" t="s">
        <v>47</v>
      </c>
      <c r="D496" s="1" t="s">
        <v>22</v>
      </c>
      <c r="E496" s="1" t="s">
        <v>22</v>
      </c>
      <c r="F496" s="1" t="s">
        <v>1116</v>
      </c>
      <c r="G496" s="1" t="b">
        <v>0</v>
      </c>
      <c r="H496" s="1" t="s">
        <v>19</v>
      </c>
      <c r="I496" s="1" t="s">
        <v>35</v>
      </c>
      <c r="J496" s="1" t="b">
        <v>0</v>
      </c>
      <c r="K496" s="1" t="s">
        <v>1117</v>
      </c>
      <c r="L496" s="1" t="s">
        <v>20</v>
      </c>
      <c r="M496" s="3" t="str">
        <f t="shared" si="1"/>
        <v>✅ OK</v>
      </c>
      <c r="N496" s="3" t="str">
        <f t="shared" si="2"/>
        <v>OK</v>
      </c>
      <c r="O496" s="3" t="str">
        <f t="shared" si="3"/>
        <v>COMPLIANT</v>
      </c>
    </row>
    <row r="497">
      <c r="A497" s="1">
        <v>496.0</v>
      </c>
      <c r="B497" s="1" t="s">
        <v>453</v>
      </c>
      <c r="C497" s="1" t="s">
        <v>57</v>
      </c>
      <c r="D497" s="1" t="s">
        <v>42</v>
      </c>
      <c r="E497" s="1" t="s">
        <v>42</v>
      </c>
      <c r="F497" s="1" t="s">
        <v>1118</v>
      </c>
      <c r="G497" s="1" t="b">
        <v>1</v>
      </c>
      <c r="H497" s="1" t="s">
        <v>29</v>
      </c>
      <c r="I497" s="1" t="s">
        <v>17</v>
      </c>
      <c r="J497" s="1" t="b">
        <v>1</v>
      </c>
      <c r="K497" s="1" t="s">
        <v>903</v>
      </c>
      <c r="L497" s="1" t="s">
        <v>31</v>
      </c>
      <c r="M497" s="3" t="str">
        <f t="shared" si="1"/>
        <v>✅ OK</v>
      </c>
      <c r="N497" s="3" t="str">
        <f t="shared" si="2"/>
        <v>OK</v>
      </c>
      <c r="O497" s="3" t="str">
        <f t="shared" si="3"/>
        <v>COMPLIANT</v>
      </c>
    </row>
    <row r="498">
      <c r="A498" s="1">
        <v>497.0</v>
      </c>
      <c r="B498" s="1" t="s">
        <v>1119</v>
      </c>
      <c r="C498" s="1" t="s">
        <v>16</v>
      </c>
      <c r="D498" s="1" t="s">
        <v>33</v>
      </c>
      <c r="E498" s="1" t="s">
        <v>33</v>
      </c>
      <c r="F498" s="1" t="s">
        <v>1120</v>
      </c>
      <c r="G498" s="1" t="b">
        <v>1</v>
      </c>
      <c r="H498" s="1" t="s">
        <v>19</v>
      </c>
      <c r="I498" s="1" t="s">
        <v>17</v>
      </c>
      <c r="J498" s="1" t="b">
        <v>0</v>
      </c>
      <c r="K498" s="2">
        <v>45938.0</v>
      </c>
      <c r="L498" s="1" t="s">
        <v>31</v>
      </c>
      <c r="M498" s="3" t="str">
        <f t="shared" si="1"/>
        <v>✅ OK</v>
      </c>
      <c r="N498" s="3" t="str">
        <f t="shared" si="2"/>
        <v>OK</v>
      </c>
      <c r="O498" s="3" t="str">
        <f t="shared" si="3"/>
        <v>COMPLIANT</v>
      </c>
    </row>
    <row r="499">
      <c r="A499" s="1">
        <v>498.0</v>
      </c>
      <c r="B499" s="1" t="s">
        <v>1121</v>
      </c>
      <c r="C499" s="1" t="s">
        <v>47</v>
      </c>
      <c r="D499" s="1" t="s">
        <v>74</v>
      </c>
      <c r="E499" s="1" t="s">
        <v>74</v>
      </c>
      <c r="F499" s="1" t="s">
        <v>1122</v>
      </c>
      <c r="G499" s="1" t="b">
        <v>1</v>
      </c>
      <c r="H499" s="1" t="s">
        <v>44</v>
      </c>
      <c r="I499" s="1" t="s">
        <v>17</v>
      </c>
      <c r="J499" s="1" t="b">
        <v>0</v>
      </c>
      <c r="K499" s="1" t="s">
        <v>1123</v>
      </c>
      <c r="L499" s="1" t="s">
        <v>31</v>
      </c>
      <c r="M499" s="3" t="str">
        <f t="shared" si="1"/>
        <v>✅ OK</v>
      </c>
      <c r="N499" s="3" t="str">
        <f t="shared" si="2"/>
        <v>OK</v>
      </c>
      <c r="O499" s="3" t="str">
        <f t="shared" si="3"/>
        <v>COMPLIANT</v>
      </c>
    </row>
    <row r="500">
      <c r="A500" s="1">
        <v>499.0</v>
      </c>
      <c r="B500" s="1" t="s">
        <v>1124</v>
      </c>
      <c r="C500" s="1" t="s">
        <v>26</v>
      </c>
      <c r="D500" s="1" t="s">
        <v>772</v>
      </c>
      <c r="E500" s="1" t="s">
        <v>772</v>
      </c>
      <c r="F500" s="1" t="s">
        <v>1125</v>
      </c>
      <c r="G500" s="1" t="b">
        <v>1</v>
      </c>
      <c r="H500" s="1" t="s">
        <v>44</v>
      </c>
      <c r="I500" s="1" t="s">
        <v>17</v>
      </c>
      <c r="J500" s="1" t="b">
        <v>1</v>
      </c>
      <c r="K500" s="1" t="s">
        <v>1126</v>
      </c>
      <c r="L500" s="1" t="s">
        <v>31</v>
      </c>
      <c r="M500" s="3" t="str">
        <f t="shared" si="1"/>
        <v>✅ OK</v>
      </c>
      <c r="N500" s="3" t="str">
        <f t="shared" si="2"/>
        <v>OK</v>
      </c>
      <c r="O500" s="3" t="str">
        <f t="shared" si="3"/>
        <v>COMPLIANT</v>
      </c>
    </row>
    <row r="501">
      <c r="A501" s="1">
        <v>500.0</v>
      </c>
      <c r="B501" s="1" t="s">
        <v>175</v>
      </c>
      <c r="C501" s="1" t="s">
        <v>47</v>
      </c>
      <c r="D501" s="1" t="s">
        <v>117</v>
      </c>
      <c r="E501" s="1" t="s">
        <v>117</v>
      </c>
      <c r="F501" s="1" t="s">
        <v>1127</v>
      </c>
      <c r="G501" s="1" t="b">
        <v>0</v>
      </c>
      <c r="I501" s="1" t="s">
        <v>35</v>
      </c>
      <c r="J501" s="1" t="b">
        <v>0</v>
      </c>
      <c r="K501" s="1" t="s">
        <v>1128</v>
      </c>
      <c r="L501" s="1" t="s">
        <v>31</v>
      </c>
      <c r="M501" s="3" t="str">
        <f t="shared" si="1"/>
        <v>✅ OK</v>
      </c>
      <c r="N501" s="3" t="str">
        <f t="shared" si="2"/>
        <v>OK</v>
      </c>
      <c r="O501" s="3" t="str">
        <f t="shared" si="3"/>
        <v>COMPLIANT</v>
      </c>
    </row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</cols>
  <sheetData>
    <row r="1"/>
    <row r="2"/>
    <row r="3"/>
    <row r="4"/>
  </sheetData>
  <drawing r:id="rId2"/>
</worksheet>
</file>